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b72dd7275a6dfc/Dokumenti/Fizika/Berzes koificents lab 03.03.26 10.kl/"/>
    </mc:Choice>
  </mc:AlternateContent>
  <xr:revisionPtr revIDLastSave="434" documentId="8_{5D62A56B-E954-43A1-8BBB-876A675C9659}" xr6:coauthVersionLast="47" xr6:coauthVersionMax="47" xr10:uidLastSave="{97E52D75-3DD9-4FCB-9AB3-43D6C8A0B653}"/>
  <bookViews>
    <workbookView xWindow="-110" yWindow="-110" windowWidth="19420" windowHeight="10300" xr2:uid="{63CFCFB4-1110-4923-9755-91EC36E15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" l="1"/>
  <c r="I62" i="1"/>
  <c r="H20" i="1"/>
  <c r="G17" i="1"/>
  <c r="O4" i="1"/>
  <c r="C32" i="1" l="1"/>
  <c r="F37" i="1" s="1"/>
  <c r="G67" i="1"/>
  <c r="G72" i="1"/>
  <c r="G62" i="1"/>
  <c r="G52" i="1"/>
  <c r="G57" i="1"/>
  <c r="G47" i="1"/>
  <c r="G37" i="1"/>
  <c r="G42" i="1"/>
  <c r="G32" i="1"/>
  <c r="G22" i="1"/>
  <c r="G27" i="1"/>
  <c r="G7" i="1"/>
  <c r="G12" i="1"/>
  <c r="G2" i="1"/>
  <c r="C2" i="1"/>
  <c r="F2" i="1" s="1"/>
  <c r="C17" i="1"/>
  <c r="F17" i="1" s="1"/>
  <c r="C47" i="1"/>
  <c r="F52" i="1" s="1"/>
  <c r="C62" i="1"/>
  <c r="F67" i="1" s="1"/>
  <c r="H4" i="1" l="1"/>
  <c r="I4" i="1" s="1"/>
  <c r="H2" i="1"/>
  <c r="I2" i="1" s="1"/>
  <c r="H5" i="1"/>
  <c r="I5" i="1" s="1"/>
  <c r="H6" i="1"/>
  <c r="I6" i="1" s="1"/>
  <c r="H7" i="1"/>
  <c r="I7" i="1" s="1"/>
  <c r="H12" i="1"/>
  <c r="I12" i="1" s="1"/>
  <c r="H15" i="1"/>
  <c r="I15" i="1" s="1"/>
  <c r="H3" i="1"/>
  <c r="I3" i="1" s="1"/>
  <c r="H11" i="1"/>
  <c r="I11" i="1" s="1"/>
  <c r="H8" i="1"/>
  <c r="I8" i="1" s="1"/>
  <c r="H9" i="1"/>
  <c r="I9" i="1" s="1"/>
  <c r="H10" i="1"/>
  <c r="I10" i="1" s="1"/>
  <c r="H14" i="1"/>
  <c r="I14" i="1" s="1"/>
  <c r="H16" i="1"/>
  <c r="I16" i="1" s="1"/>
  <c r="H13" i="1"/>
  <c r="I13" i="1" s="1"/>
  <c r="F12" i="1"/>
  <c r="F7" i="1"/>
  <c r="F22" i="1"/>
  <c r="H23" i="1" s="1"/>
  <c r="I23" i="1" s="1"/>
  <c r="F62" i="1"/>
  <c r="F72" i="1"/>
  <c r="F32" i="1"/>
  <c r="H34" i="1" s="1"/>
  <c r="I34" i="1" s="1"/>
  <c r="F42" i="1"/>
  <c r="H42" i="1" s="1"/>
  <c r="I42" i="1" s="1"/>
  <c r="H69" i="1"/>
  <c r="I69" i="1" s="1"/>
  <c r="H68" i="1"/>
  <c r="I68" i="1" s="1"/>
  <c r="H70" i="1"/>
  <c r="I70" i="1" s="1"/>
  <c r="H71" i="1"/>
  <c r="I71" i="1" s="1"/>
  <c r="H67" i="1"/>
  <c r="I67" i="1" s="1"/>
  <c r="H53" i="1"/>
  <c r="I53" i="1" s="1"/>
  <c r="H55" i="1"/>
  <c r="I55" i="1" s="1"/>
  <c r="H52" i="1"/>
  <c r="I52" i="1" s="1"/>
  <c r="H56" i="1"/>
  <c r="I56" i="1" s="1"/>
  <c r="H54" i="1"/>
  <c r="I54" i="1" s="1"/>
  <c r="F47" i="1"/>
  <c r="F57" i="1"/>
  <c r="H38" i="1"/>
  <c r="I38" i="1" s="1"/>
  <c r="H37" i="1"/>
  <c r="I37" i="1" s="1"/>
  <c r="H40" i="1"/>
  <c r="I40" i="1" s="1"/>
  <c r="H41" i="1"/>
  <c r="I41" i="1" s="1"/>
  <c r="H39" i="1"/>
  <c r="I39" i="1" s="1"/>
  <c r="F27" i="1"/>
  <c r="H28" i="1" s="1"/>
  <c r="I28" i="1" s="1"/>
  <c r="H19" i="1"/>
  <c r="I19" i="1" s="1"/>
  <c r="I20" i="1"/>
  <c r="H21" i="1"/>
  <c r="I21" i="1" s="1"/>
  <c r="H18" i="1"/>
  <c r="I18" i="1" s="1"/>
  <c r="H17" i="1"/>
  <c r="I17" i="1" s="1"/>
  <c r="H26" i="1"/>
  <c r="I26" i="1" s="1"/>
  <c r="H22" i="1"/>
  <c r="I22" i="1" s="1"/>
  <c r="J2" i="1" l="1"/>
  <c r="H31" i="1"/>
  <c r="I31" i="1" s="1"/>
  <c r="H35" i="1"/>
  <c r="I35" i="1" s="1"/>
  <c r="H24" i="1"/>
  <c r="I24" i="1" s="1"/>
  <c r="J22" i="1" s="1"/>
  <c r="K2" i="1"/>
  <c r="K3" i="1"/>
  <c r="K4" i="1"/>
  <c r="K5" i="1"/>
  <c r="K6" i="1"/>
  <c r="H45" i="1"/>
  <c r="I45" i="1" s="1"/>
  <c r="H46" i="1"/>
  <c r="I46" i="1" s="1"/>
  <c r="H25" i="1"/>
  <c r="I25" i="1" s="1"/>
  <c r="J52" i="1"/>
  <c r="H73" i="1"/>
  <c r="I73" i="1" s="1"/>
  <c r="H76" i="1"/>
  <c r="I76" i="1" s="1"/>
  <c r="H74" i="1"/>
  <c r="I74" i="1" s="1"/>
  <c r="H75" i="1"/>
  <c r="I75" i="1" s="1"/>
  <c r="H72" i="1"/>
  <c r="I72" i="1" s="1"/>
  <c r="J17" i="1"/>
  <c r="H63" i="1"/>
  <c r="I63" i="1" s="1"/>
  <c r="H62" i="1"/>
  <c r="H66" i="1"/>
  <c r="I66" i="1" s="1"/>
  <c r="H32" i="1"/>
  <c r="I32" i="1" s="1"/>
  <c r="H64" i="1"/>
  <c r="I64" i="1" s="1"/>
  <c r="J12" i="1"/>
  <c r="H65" i="1"/>
  <c r="I65" i="1" s="1"/>
  <c r="J7" i="1"/>
  <c r="J67" i="1"/>
  <c r="H44" i="1"/>
  <c r="I44" i="1" s="1"/>
  <c r="H43" i="1"/>
  <c r="I43" i="1" s="1"/>
  <c r="J37" i="1"/>
  <c r="H33" i="1"/>
  <c r="I33" i="1" s="1"/>
  <c r="H36" i="1"/>
  <c r="I36" i="1" s="1"/>
  <c r="H57" i="1"/>
  <c r="I57" i="1" s="1"/>
  <c r="H58" i="1"/>
  <c r="I58" i="1" s="1"/>
  <c r="H60" i="1"/>
  <c r="I60" i="1" s="1"/>
  <c r="H61" i="1"/>
  <c r="I61" i="1" s="1"/>
  <c r="H59" i="1"/>
  <c r="I59" i="1" s="1"/>
  <c r="H47" i="1"/>
  <c r="I47" i="1" s="1"/>
  <c r="H48" i="1"/>
  <c r="I48" i="1" s="1"/>
  <c r="H49" i="1"/>
  <c r="I49" i="1" s="1"/>
  <c r="H50" i="1"/>
  <c r="I50" i="1" s="1"/>
  <c r="H51" i="1"/>
  <c r="I51" i="1" s="1"/>
  <c r="H27" i="1"/>
  <c r="I27" i="1" s="1"/>
  <c r="H29" i="1"/>
  <c r="I29" i="1" s="1"/>
  <c r="H30" i="1"/>
  <c r="I30" i="1" s="1"/>
  <c r="L2" i="1" l="1" a="1"/>
  <c r="L2" i="1" s="1"/>
  <c r="J57" i="1"/>
  <c r="M2" i="1"/>
  <c r="K55" i="1"/>
  <c r="K58" i="1"/>
  <c r="K59" i="1"/>
  <c r="K54" i="1"/>
  <c r="K60" i="1"/>
  <c r="K61" i="1"/>
  <c r="K52" i="1"/>
  <c r="K53" i="1"/>
  <c r="K56" i="1"/>
  <c r="K57" i="1"/>
  <c r="K37" i="1"/>
  <c r="K38" i="1"/>
  <c r="K39" i="1"/>
  <c r="K40" i="1"/>
  <c r="K41" i="1"/>
  <c r="K20" i="1"/>
  <c r="K19" i="1"/>
  <c r="K21" i="1"/>
  <c r="K17" i="1"/>
  <c r="K18" i="1"/>
  <c r="K68" i="1"/>
  <c r="K69" i="1"/>
  <c r="K70" i="1"/>
  <c r="K71" i="1"/>
  <c r="K67" i="1"/>
  <c r="L67" i="1" s="1" a="1"/>
  <c r="L67" i="1" s="1"/>
  <c r="M67" i="1" s="1"/>
  <c r="K13" i="1"/>
  <c r="K14" i="1"/>
  <c r="K15" i="1"/>
  <c r="K16" i="1"/>
  <c r="K12" i="1"/>
  <c r="K25" i="1"/>
  <c r="K23" i="1"/>
  <c r="K24" i="1"/>
  <c r="K26" i="1"/>
  <c r="K22" i="1"/>
  <c r="L22" i="1" s="1" a="1"/>
  <c r="L22" i="1" s="1"/>
  <c r="M22" i="1" s="1"/>
  <c r="K7" i="1"/>
  <c r="K8" i="1"/>
  <c r="K9" i="1"/>
  <c r="K10" i="1"/>
  <c r="K11" i="1"/>
  <c r="J27" i="1"/>
  <c r="J32" i="1"/>
  <c r="J42" i="1"/>
  <c r="J72" i="1"/>
  <c r="J47" i="1"/>
  <c r="L37" i="1" l="1" a="1"/>
  <c r="L37" i="1" s="1"/>
  <c r="M37" i="1" s="1"/>
  <c r="L57" i="1" a="1"/>
  <c r="L57" i="1" s="1"/>
  <c r="M57" i="1"/>
  <c r="L52" i="1" a="1"/>
  <c r="L52" i="1" s="1"/>
  <c r="M52" i="1" s="1"/>
  <c r="L7" i="1" a="1"/>
  <c r="L7" i="1" s="1"/>
  <c r="M7" i="1" s="1"/>
  <c r="L12" i="1" a="1"/>
  <c r="L12" i="1" s="1"/>
  <c r="M12" i="1" s="1"/>
  <c r="M27" i="1"/>
  <c r="L17" i="1" a="1"/>
  <c r="L17" i="1" s="1"/>
  <c r="M17" i="1" s="1"/>
  <c r="K63" i="1"/>
  <c r="K65" i="1"/>
  <c r="K66" i="1"/>
  <c r="K62" i="1"/>
  <c r="K64" i="1"/>
  <c r="K47" i="1"/>
  <c r="K48" i="1"/>
  <c r="K49" i="1"/>
  <c r="K50" i="1"/>
  <c r="K51" i="1"/>
  <c r="K73" i="1"/>
  <c r="K74" i="1"/>
  <c r="K75" i="1"/>
  <c r="K76" i="1"/>
  <c r="K72" i="1"/>
  <c r="K46" i="1"/>
  <c r="K43" i="1"/>
  <c r="K42" i="1"/>
  <c r="K44" i="1"/>
  <c r="K45" i="1"/>
  <c r="K34" i="1"/>
  <c r="K36" i="1"/>
  <c r="K35" i="1"/>
  <c r="K33" i="1"/>
  <c r="K32" i="1"/>
  <c r="K28" i="1"/>
  <c r="K29" i="1"/>
  <c r="K30" i="1"/>
  <c r="K31" i="1"/>
  <c r="K27" i="1"/>
  <c r="L27" i="1" s="1" a="1"/>
  <c r="L27" i="1" s="1"/>
  <c r="O5" i="1" l="1" a="1"/>
  <c r="O5" i="1" s="1"/>
  <c r="O6" i="1" s="1"/>
  <c r="L42" i="1" a="1"/>
  <c r="L42" i="1" s="1"/>
  <c r="M42" i="1" s="1"/>
  <c r="L62" i="1" a="1"/>
  <c r="L62" i="1" s="1"/>
  <c r="M62" i="1" s="1"/>
  <c r="L72" i="1" a="1"/>
  <c r="L72" i="1" s="1"/>
  <c r="M72" i="1" s="1"/>
  <c r="L47" i="1" a="1"/>
  <c r="L47" i="1" s="1"/>
  <c r="M47" i="1" s="1"/>
  <c r="L32" i="1" a="1"/>
  <c r="L32" i="1" s="1"/>
  <c r="M3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<sst xmlns="http://schemas.openxmlformats.org/spreadsheetml/2006/main" count="17" uniqueCount="17">
  <si>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∆μ</t>
  </si>
  <si>
    <t xml:space="preserve"> μ</t>
  </si>
  <si>
    <t>Rezltāts</t>
  </si>
  <si>
    <t>Vidējais kopējais:</t>
  </si>
  <si>
    <r>
      <t>S</t>
    </r>
    <r>
      <rPr>
        <sz val="8"/>
        <color theme="1"/>
        <rFont val="Aptos Narrow"/>
        <family val="2"/>
        <scheme val="minor"/>
      </rPr>
      <t>95%;75</t>
    </r>
  </si>
  <si>
    <t>Rezultāts</t>
  </si>
  <si>
    <t>Šeit ņemam videjo no visiem un reķinam</t>
  </si>
  <si>
    <t>F (±0.1N)</t>
  </si>
  <si>
    <t xml:space="preserve"> b (±0.001m)</t>
  </si>
  <si>
    <t xml:space="preserve"> c (±0.001m)</t>
  </si>
  <si>
    <t>m (±0.0001kg)</t>
  </si>
  <si>
    <r>
      <t xml:space="preserve"> a (</t>
    </r>
    <r>
      <rPr>
        <sz val="11"/>
        <color theme="1"/>
        <rFont val="Aptos Narrow"/>
        <family val="2"/>
      </rPr>
      <t>±0.001m)</t>
    </r>
  </si>
  <si>
    <r>
      <t>mg</t>
    </r>
    <r>
      <rPr>
        <sz val="11"/>
        <color theme="1"/>
        <rFont val="Aptos Narrow"/>
        <family val="2"/>
        <scheme val="minor"/>
      </rPr>
      <t>x</t>
    </r>
  </si>
  <si>
    <r>
      <t>mg</t>
    </r>
    <r>
      <rPr>
        <sz val="11"/>
        <color theme="1"/>
        <rFont val="Aptos Narrow"/>
        <family val="2"/>
        <scheme val="minor"/>
      </rPr>
      <t>y=FR</t>
    </r>
  </si>
  <si>
    <r>
      <t>F</t>
    </r>
    <r>
      <rPr>
        <sz val="11"/>
        <color theme="1"/>
        <rFont val="Aptos Narrow"/>
        <family val="2"/>
        <scheme val="minor"/>
      </rPr>
      <t>B</t>
    </r>
  </si>
  <si>
    <t>μ vid.</t>
  </si>
  <si>
    <r>
      <t>S</t>
    </r>
    <r>
      <rPr>
        <sz val="11"/>
        <color theme="1"/>
        <rFont val="Aptos Narrow"/>
        <family val="2"/>
        <scheme val="minor"/>
      </rPr>
      <t>95%;5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</si>
</sst>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0"/>
  </numFmts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textRotation="255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45"/>
    </xf>
    <xf numFmtId="164" fontId="4" fillId="0" borderId="1" xfId="0" applyNumberFormat="1" applyFont="1" applyBorder="1" applyAlignment="1">
      <alignment horizontal="center" vertical="center" textRotation="45"/>
    </xf>
    <xf numFmtId="0" fontId="0" fillId="2" borderId="1" xfId="0" applyFill="1" applyBorder="1"/>
    <xf numFmtId="2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8817-0D22-45FA-A028-DA41D3F991DC}">
  <dimension ref="A1:O267"/>
  <sheetViews>
    <sheetView tabSelected="1" zoomScale="60" workbookViewId="0">
      <pane ySplit="1" topLeftCell="A2" activePane="bottomLeft" state="frozen"/>
      <selection pane="bottomLeft" activeCell="N4" sqref="N4:O6"/>
    </sheetView>
  </sheetViews>
  <sheetFormatPr defaultRowHeight="14.5" x14ac:dyDescent="0.35"/>
  <cols>
    <col min="1" max="1" width="11.453125" bestFit="1" customWidth="1"/>
    <col min="2" max="3" width="10.90625" bestFit="1" customWidth="1"/>
    <col min="4" max="4" width="12.36328125" bestFit="1" customWidth="1"/>
    <col min="5" max="5" width="8.26953125" bestFit="1" customWidth="1"/>
    <col min="6" max="6" width="8.81640625" customWidth="1"/>
    <col min="7" max="7" width="9.26953125" customWidth="1"/>
    <col min="8" max="8" width="8.7265625" customWidth="1"/>
    <col min="9" max="9" width="7.6328125" customWidth="1"/>
    <col min="13" max="13" width="10.90625" bestFit="1" customWidth="1"/>
    <col min="14" max="14" width="14.90625" bestFit="1" customWidth="1"/>
    <col min="15" max="15" width="12.26953125" bestFit="1" customWidth="1"/>
  </cols>
  <sheetData>
    <row r="1" spans="1:15" x14ac:dyDescent="0.35">
      <c r="A1" s="9" t="s">
        <v>11</v>
      </c>
      <c r="B1" s="9" t="s">
        <v>8</v>
      </c>
      <c r="C1" s="9" t="s">
        <v>9</v>
      </c>
      <c r="D1" s="9" t="s">
        <v>10</v>
      </c>
      <c r="E1" s="9" t="s">
        <v>7</v>
      </c>
      <c r="F1" s="9" t="s">
        <v>12</v>
      </c>
      <c r="G1" s="9" t="s">
        <v>13</v>
      </c>
      <c r="H1" s="9" t="s">
        <v>14</v>
      </c>
      <c r="I1" s="9" t="s">
        <v>1</v>
      </c>
      <c r="J1" s="3" t="s">
        <v>15</v>
      </c>
      <c r="K1" s="4" t="s">
        <v>0</v>
      </c>
      <c r="L1" s="9" t="s">
        <v>16</v>
      </c>
      <c r="M1" s="5" t="s">
        <v>2</v>
      </c>
      <c r="N1" s="6"/>
    </row>
    <row r="2" spans="1:15" ht="14.5" customHeight="1" x14ac:dyDescent="0.35">
      <c r="A2" s="15">
        <v>0.4</v>
      </c>
      <c r="B2" s="15">
        <v>0.4</v>
      </c>
      <c r="C2" s="15">
        <f t="shared" ref="C2" si="0">($A$2^2-B2^2)^0.5</f>
        <v>0</v>
      </c>
      <c r="D2" s="10">
        <v>0.16220000000000001</v>
      </c>
      <c r="E2" s="9">
        <v>1</v>
      </c>
      <c r="F2" s="11">
        <f>($C$2*D2*9.81)/$A$2</f>
        <v>0</v>
      </c>
      <c r="G2" s="11">
        <f>($B$2*D2*9.81)/$A$2</f>
        <v>1.5911820000000001</v>
      </c>
      <c r="H2" s="13">
        <f>E2-$F$2</f>
        <v>1</v>
      </c>
      <c r="I2" s="13">
        <f>H2/$G$2</f>
        <v>0.62846362012642165</v>
      </c>
      <c r="J2" s="12">
        <f>AVERAGE(I2:I6)</f>
        <v>0.59075580291883634</v>
      </c>
      <c r="K2" s="14">
        <f>$J$2-I2</f>
        <v>-3.7707817207585315E-2</v>
      </c>
      <c r="L2" s="10" cm="1">
        <f t="array" ref="L2">SQRT((SUMPRODUCT(K2:K6*K2:K6))/(5*(5-1)))*2.776</f>
        <v>4.2734165708046598E-2</v>
      </c>
      <c r="M2" s="10" t="str">
        <f>ROUND(J2,2) &amp; " ± " &amp; ROUND(L2,3)</f>
        <v>0.59 ± 0.043</v>
      </c>
      <c r="N2" s="7" t="s">
        <v>6</v>
      </c>
      <c r="O2" s="8"/>
    </row>
    <row r="3" spans="1:15" x14ac:dyDescent="0.35">
      <c r="A3" s="15"/>
      <c r="B3" s="15"/>
      <c r="C3" s="15"/>
      <c r="D3" s="10"/>
      <c r="E3" s="9">
        <v>0.9</v>
      </c>
      <c r="F3" s="11"/>
      <c r="G3" s="11"/>
      <c r="H3" s="13">
        <f t="shared" ref="H3:H16" si="1">E3-$F$2</f>
        <v>0.9</v>
      </c>
      <c r="I3" s="13">
        <f t="shared" ref="I3:I6" si="2">H3/$G$2</f>
        <v>0.5656172581137795</v>
      </c>
      <c r="J3" s="12"/>
      <c r="K3" s="14">
        <f>$J$2-I3</f>
        <v>2.5138544805056839E-2</v>
      </c>
      <c r="L3" s="10"/>
      <c r="M3" s="10"/>
      <c r="N3" s="7"/>
      <c r="O3" s="8"/>
    </row>
    <row r="4" spans="1:15" x14ac:dyDescent="0.35">
      <c r="A4" s="15"/>
      <c r="B4" s="15"/>
      <c r="C4" s="15"/>
      <c r="D4" s="10"/>
      <c r="E4" s="9">
        <v>0.9</v>
      </c>
      <c r="F4" s="11"/>
      <c r="G4" s="11"/>
      <c r="H4" s="13">
        <f t="shared" si="1"/>
        <v>0.9</v>
      </c>
      <c r="I4" s="13">
        <f t="shared" si="2"/>
        <v>0.5656172581137795</v>
      </c>
      <c r="J4" s="12"/>
      <c r="K4" s="14">
        <f>$J$2-I4</f>
        <v>2.5138544805056839E-2</v>
      </c>
      <c r="L4" s="10"/>
      <c r="M4" s="10"/>
      <c r="N4" s="17" t="s">
        <v>3</v>
      </c>
      <c r="O4" s="18">
        <f>AVERAGE(I2:I76)</f>
        <v>0.61119033381639887</v>
      </c>
    </row>
    <row r="5" spans="1:15" x14ac:dyDescent="0.35">
      <c r="A5" s="15"/>
      <c r="B5" s="15"/>
      <c r="C5" s="15"/>
      <c r="D5" s="10"/>
      <c r="E5" s="9">
        <v>1</v>
      </c>
      <c r="F5" s="11"/>
      <c r="G5" s="11"/>
      <c r="H5" s="13">
        <f t="shared" si="1"/>
        <v>1</v>
      </c>
      <c r="I5" s="13">
        <f t="shared" si="2"/>
        <v>0.62846362012642165</v>
      </c>
      <c r="J5" s="12"/>
      <c r="K5" s="14">
        <f>$J$2-I5</f>
        <v>-3.7707817207585315E-2</v>
      </c>
      <c r="L5" s="10"/>
      <c r="M5" s="10"/>
      <c r="N5" s="17" t="s">
        <v>4</v>
      </c>
      <c r="O5" s="17" cm="1">
        <f t="array" ref="O5">SQRT((SUMPRODUCT(K2:K76*K2:K76))/(75*(75-1)))*1.66570689</f>
        <v>7.16344134757775E-3</v>
      </c>
    </row>
    <row r="6" spans="1:15" x14ac:dyDescent="0.35">
      <c r="A6" s="15"/>
      <c r="B6" s="15"/>
      <c r="C6" s="15"/>
      <c r="D6" s="10"/>
      <c r="E6" s="9">
        <v>0.9</v>
      </c>
      <c r="F6" s="11"/>
      <c r="G6" s="11"/>
      <c r="H6" s="13">
        <f t="shared" si="1"/>
        <v>0.9</v>
      </c>
      <c r="I6" s="13">
        <f t="shared" si="2"/>
        <v>0.5656172581137795</v>
      </c>
      <c r="J6" s="12"/>
      <c r="K6" s="14">
        <f>$J$2-I6</f>
        <v>2.5138544805056839E-2</v>
      </c>
      <c r="L6" s="10"/>
      <c r="M6" s="10"/>
      <c r="N6" s="17" t="s">
        <v>5</v>
      </c>
      <c r="O6" s="17" t="str">
        <f>ROUND(O4,2) &amp; " ± " &amp; ROUND(O5,3)</f>
        <v>0.61 ± 0.007</v>
      </c>
    </row>
    <row r="7" spans="1:15" x14ac:dyDescent="0.35">
      <c r="A7" s="15"/>
      <c r="B7" s="15"/>
      <c r="C7" s="15"/>
      <c r="D7" s="10">
        <v>0.26219999999999999</v>
      </c>
      <c r="E7" s="9">
        <v>1.6</v>
      </c>
      <c r="F7" s="11">
        <f t="shared" ref="F7" si="3">($C$2*D7*9.81)/$A$2</f>
        <v>0</v>
      </c>
      <c r="G7" s="11">
        <f t="shared" ref="G7" si="4">($B$2*D7*9.81)/$A$2</f>
        <v>2.5721819999999997</v>
      </c>
      <c r="H7" s="13">
        <f t="shared" si="1"/>
        <v>1.6</v>
      </c>
      <c r="I7" s="13">
        <f>H7/$G$7</f>
        <v>0.62203996451262011</v>
      </c>
      <c r="J7" s="12">
        <f>AVERAGE(I7:I11)</f>
        <v>0.62203996451262011</v>
      </c>
      <c r="K7" s="14">
        <f>$J$7-I7</f>
        <v>0</v>
      </c>
      <c r="L7" s="10" cm="1">
        <f t="array" ref="L7">SQRT((SUMPRODUCT(K7:K11*K7:K11))/(5*(5-1)))*2.776</f>
        <v>7.6313745472670946E-2</v>
      </c>
      <c r="M7" s="10" t="str">
        <f t="shared" ref="M7" si="5">ROUND(J7,2) &amp; " ± " &amp; ROUND(L7,3)</f>
        <v>0.62 ± 0.076</v>
      </c>
    </row>
    <row r="8" spans="1:15" x14ac:dyDescent="0.35">
      <c r="A8" s="15"/>
      <c r="B8" s="15"/>
      <c r="C8" s="15"/>
      <c r="D8" s="10"/>
      <c r="E8" s="9">
        <v>1.8</v>
      </c>
      <c r="F8" s="11"/>
      <c r="G8" s="11"/>
      <c r="H8" s="13">
        <f t="shared" si="1"/>
        <v>1.8</v>
      </c>
      <c r="I8" s="13">
        <f t="shared" ref="I8:I11" si="6">H8/$G$7</f>
        <v>0.69979496007669761</v>
      </c>
      <c r="J8" s="12"/>
      <c r="K8" s="14">
        <f>$J$7-I8</f>
        <v>-7.77549955640775E-2</v>
      </c>
      <c r="L8" s="10"/>
      <c r="M8" s="10"/>
    </row>
    <row r="9" spans="1:15" x14ac:dyDescent="0.35">
      <c r="A9" s="15"/>
      <c r="B9" s="15"/>
      <c r="C9" s="15"/>
      <c r="D9" s="10"/>
      <c r="E9" s="9">
        <v>1.7</v>
      </c>
      <c r="F9" s="11"/>
      <c r="G9" s="11"/>
      <c r="H9" s="13">
        <f t="shared" si="1"/>
        <v>1.7</v>
      </c>
      <c r="I9" s="13">
        <f t="shared" si="6"/>
        <v>0.66091746229465886</v>
      </c>
      <c r="J9" s="12"/>
      <c r="K9" s="14">
        <f>$J$7-I9</f>
        <v>-3.887749778203875E-2</v>
      </c>
      <c r="L9" s="10"/>
      <c r="M9" s="10"/>
    </row>
    <row r="10" spans="1:15" x14ac:dyDescent="0.35">
      <c r="A10" s="15"/>
      <c r="B10" s="15"/>
      <c r="C10" s="15"/>
      <c r="D10" s="10"/>
      <c r="E10" s="9">
        <v>1.4</v>
      </c>
      <c r="F10" s="11"/>
      <c r="G10" s="11"/>
      <c r="H10" s="13">
        <f t="shared" si="1"/>
        <v>1.4</v>
      </c>
      <c r="I10" s="13">
        <f t="shared" si="6"/>
        <v>0.5442849689485425</v>
      </c>
      <c r="J10" s="12"/>
      <c r="K10" s="14">
        <f>$J$7-I10</f>
        <v>7.7754995564077611E-2</v>
      </c>
      <c r="L10" s="10"/>
      <c r="M10" s="10"/>
    </row>
    <row r="11" spans="1:15" x14ac:dyDescent="0.35">
      <c r="A11" s="15"/>
      <c r="B11" s="15"/>
      <c r="C11" s="15"/>
      <c r="D11" s="10"/>
      <c r="E11" s="9">
        <v>1.5</v>
      </c>
      <c r="F11" s="11"/>
      <c r="G11" s="11"/>
      <c r="H11" s="13">
        <f t="shared" si="1"/>
        <v>1.5</v>
      </c>
      <c r="I11" s="13">
        <f t="shared" si="6"/>
        <v>0.58316246673058136</v>
      </c>
      <c r="J11" s="12"/>
      <c r="K11" s="14">
        <f>$J$7-I11</f>
        <v>3.887749778203875E-2</v>
      </c>
      <c r="L11" s="10"/>
      <c r="M11" s="10"/>
    </row>
    <row r="12" spans="1:15" x14ac:dyDescent="0.35">
      <c r="A12" s="15"/>
      <c r="B12" s="15"/>
      <c r="C12" s="15"/>
      <c r="D12" s="10">
        <v>0.36220000000000002</v>
      </c>
      <c r="E12" s="9">
        <v>2.2000000000000002</v>
      </c>
      <c r="F12" s="11">
        <f t="shared" ref="F12" si="7">($C$2*D12*9.81)/$A$2</f>
        <v>0</v>
      </c>
      <c r="G12" s="11">
        <f t="shared" ref="G12" si="8">($B$2*D12*9.81)/$A$2</f>
        <v>3.5531820000000001</v>
      </c>
      <c r="H12" s="13">
        <f t="shared" si="1"/>
        <v>2.2000000000000002</v>
      </c>
      <c r="I12" s="13">
        <f>H12/$G$12</f>
        <v>0.61916333022063041</v>
      </c>
      <c r="J12" s="12">
        <f>AVERAGE(I12:I16)</f>
        <v>0.60790581512570996</v>
      </c>
      <c r="K12" s="14">
        <f>$J$12-I12</f>
        <v>-1.1257515094920456E-2</v>
      </c>
      <c r="L12" s="10" cm="1">
        <f t="array" ref="L12">SQRT((SUMPRODUCT(K12:K16*K12:K16))/(5*(5-1)))*2.776</f>
        <v>5.2988414421652814E-2</v>
      </c>
      <c r="M12" s="10" t="str">
        <f t="shared" ref="M12" si="9">ROUND(J12,2) &amp; " ± " &amp; ROUND(L12,3)</f>
        <v>0.61 ± 0.053</v>
      </c>
    </row>
    <row r="13" spans="1:15" x14ac:dyDescent="0.35">
      <c r="A13" s="15"/>
      <c r="B13" s="15"/>
      <c r="C13" s="15"/>
      <c r="D13" s="10"/>
      <c r="E13" s="9">
        <v>2.2999999999999998</v>
      </c>
      <c r="F13" s="11"/>
      <c r="G13" s="11"/>
      <c r="H13" s="13">
        <f t="shared" si="1"/>
        <v>2.2999999999999998</v>
      </c>
      <c r="I13" s="13">
        <f t="shared" ref="I13:I16" si="10">H13/$G$12</f>
        <v>0.64730711795793172</v>
      </c>
      <c r="J13" s="12"/>
      <c r="K13" s="14">
        <f>$J$12-I13</f>
        <v>-3.9401302832221763E-2</v>
      </c>
      <c r="L13" s="10"/>
      <c r="M13" s="10"/>
    </row>
    <row r="14" spans="1:15" x14ac:dyDescent="0.35">
      <c r="A14" s="15"/>
      <c r="B14" s="15"/>
      <c r="C14" s="15"/>
      <c r="D14" s="10"/>
      <c r="E14" s="9">
        <v>2.2999999999999998</v>
      </c>
      <c r="F14" s="11"/>
      <c r="G14" s="11"/>
      <c r="H14" s="13">
        <f>E14-$F$2</f>
        <v>2.2999999999999998</v>
      </c>
      <c r="I14" s="13">
        <f t="shared" si="10"/>
        <v>0.64730711795793172</v>
      </c>
      <c r="J14" s="12"/>
      <c r="K14" s="14">
        <f>$J$12-I14</f>
        <v>-3.9401302832221763E-2</v>
      </c>
      <c r="L14" s="10"/>
      <c r="M14" s="10"/>
    </row>
    <row r="15" spans="1:15" x14ac:dyDescent="0.35">
      <c r="A15" s="15"/>
      <c r="B15" s="15"/>
      <c r="C15" s="15"/>
      <c r="D15" s="10"/>
      <c r="E15" s="9">
        <v>2</v>
      </c>
      <c r="F15" s="11"/>
      <c r="G15" s="11"/>
      <c r="H15" s="13">
        <f t="shared" si="1"/>
        <v>2</v>
      </c>
      <c r="I15" s="13">
        <f t="shared" si="10"/>
        <v>0.56287575474602769</v>
      </c>
      <c r="J15" s="12"/>
      <c r="K15" s="14">
        <f>$J$12-I15</f>
        <v>4.5030060379682268E-2</v>
      </c>
      <c r="L15" s="10"/>
      <c r="M15" s="10"/>
    </row>
    <row r="16" spans="1:15" x14ac:dyDescent="0.35">
      <c r="A16" s="15"/>
      <c r="B16" s="15"/>
      <c r="C16" s="15"/>
      <c r="D16" s="10"/>
      <c r="E16" s="9">
        <v>2</v>
      </c>
      <c r="F16" s="11"/>
      <c r="G16" s="11"/>
      <c r="H16" s="13">
        <f t="shared" si="1"/>
        <v>2</v>
      </c>
      <c r="I16" s="13">
        <f t="shared" si="10"/>
        <v>0.56287575474602769</v>
      </c>
      <c r="J16" s="12"/>
      <c r="K16" s="14">
        <f>$J$12-I16</f>
        <v>4.5030060379682268E-2</v>
      </c>
      <c r="L16" s="10"/>
      <c r="M16" s="10"/>
    </row>
    <row r="17" spans="1:13" x14ac:dyDescent="0.35">
      <c r="A17" s="15"/>
      <c r="B17" s="15">
        <v>0.39500000000000002</v>
      </c>
      <c r="C17" s="16">
        <f t="shared" ref="C17" si="11">($A$2^2-B17^2)^0.5</f>
        <v>6.3047601064592507E-2</v>
      </c>
      <c r="D17" s="10">
        <v>0.16220000000000001</v>
      </c>
      <c r="E17" s="9">
        <v>1.2</v>
      </c>
      <c r="F17" s="11">
        <f>($C$17*D17*9.81)/$A$2</f>
        <v>0.25080051989290109</v>
      </c>
      <c r="G17" s="11">
        <f>($B$17*D17*9.81)/$A$2</f>
        <v>1.5712922249999999</v>
      </c>
      <c r="H17" s="13">
        <f>E17-$F$17</f>
        <v>0.94919948010709887</v>
      </c>
      <c r="I17" s="13">
        <f>H17/$G$17</f>
        <v>0.60408844707870868</v>
      </c>
      <c r="J17" s="12">
        <f>AVERAGE(I17:I21)</f>
        <v>0.60408844707870868</v>
      </c>
      <c r="K17" s="14">
        <f>$J$17-I17</f>
        <v>0</v>
      </c>
      <c r="L17" s="10" cm="1">
        <f t="array" ref="L17">SQRT((SUMPRODUCT(K17:K21*K17:K21))/(5*(5-1)))*2.776</f>
        <v>5.5867919696652349E-2</v>
      </c>
      <c r="M17" s="10" t="str">
        <f t="shared" ref="M17" si="12">ROUND(J17,2) &amp; " ± " &amp; ROUND(L17,3)</f>
        <v>0.6 ± 0.056</v>
      </c>
    </row>
    <row r="18" spans="1:13" x14ac:dyDescent="0.35">
      <c r="A18" s="15"/>
      <c r="B18" s="15"/>
      <c r="C18" s="16"/>
      <c r="D18" s="10"/>
      <c r="E18" s="9">
        <v>1.1000000000000001</v>
      </c>
      <c r="F18" s="11"/>
      <c r="G18" s="11"/>
      <c r="H18" s="13">
        <f t="shared" ref="H18:H21" si="13">E18-$F$17</f>
        <v>0.849199480107099</v>
      </c>
      <c r="I18" s="13">
        <f t="shared" ref="I18:I21" si="14">H18/$G$17</f>
        <v>0.54044656149628634</v>
      </c>
      <c r="J18" s="12"/>
      <c r="K18" s="14">
        <f>$J$17-I18</f>
        <v>6.3641885582422342E-2</v>
      </c>
      <c r="L18" s="10"/>
      <c r="M18" s="10"/>
    </row>
    <row r="19" spans="1:13" x14ac:dyDescent="0.35">
      <c r="A19" s="15"/>
      <c r="B19" s="15"/>
      <c r="C19" s="16"/>
      <c r="D19" s="10"/>
      <c r="E19" s="9">
        <v>1.2</v>
      </c>
      <c r="F19" s="11"/>
      <c r="G19" s="11"/>
      <c r="H19" s="13">
        <f t="shared" si="13"/>
        <v>0.94919948010709887</v>
      </c>
      <c r="I19" s="13">
        <f t="shared" si="14"/>
        <v>0.60408844707870868</v>
      </c>
      <c r="J19" s="12"/>
      <c r="K19" s="14">
        <f>$J$17-I19</f>
        <v>0</v>
      </c>
      <c r="L19" s="10"/>
      <c r="M19" s="10"/>
    </row>
    <row r="20" spans="1:13" x14ac:dyDescent="0.35">
      <c r="A20" s="15"/>
      <c r="B20" s="15"/>
      <c r="C20" s="16"/>
      <c r="D20" s="10"/>
      <c r="E20" s="9">
        <v>1.3</v>
      </c>
      <c r="F20" s="11"/>
      <c r="G20" s="11"/>
      <c r="H20" s="13">
        <f>E20-$F$17</f>
        <v>1.049199480107099</v>
      </c>
      <c r="I20" s="13">
        <f t="shared" si="14"/>
        <v>0.66773033266113124</v>
      </c>
      <c r="J20" s="12"/>
      <c r="K20" s="14">
        <f>$J$17-I20</f>
        <v>-6.3641885582422564E-2</v>
      </c>
      <c r="L20" s="10"/>
      <c r="M20" s="10"/>
    </row>
    <row r="21" spans="1:13" x14ac:dyDescent="0.35">
      <c r="A21" s="15"/>
      <c r="B21" s="15"/>
      <c r="C21" s="16"/>
      <c r="D21" s="10"/>
      <c r="E21" s="9">
        <v>1.2</v>
      </c>
      <c r="F21" s="11"/>
      <c r="G21" s="11"/>
      <c r="H21" s="13">
        <f t="shared" si="13"/>
        <v>0.94919948010709887</v>
      </c>
      <c r="I21" s="13">
        <f t="shared" si="14"/>
        <v>0.60408844707870868</v>
      </c>
      <c r="J21" s="12"/>
      <c r="K21" s="14">
        <f>$J$17-I21</f>
        <v>0</v>
      </c>
      <c r="L21" s="10"/>
      <c r="M21" s="10"/>
    </row>
    <row r="22" spans="1:13" x14ac:dyDescent="0.35">
      <c r="A22" s="15"/>
      <c r="B22" s="15"/>
      <c r="C22" s="16"/>
      <c r="D22" s="10">
        <v>0.26219999999999999</v>
      </c>
      <c r="E22" s="9">
        <v>2</v>
      </c>
      <c r="F22" s="11">
        <f t="shared" ref="F22" si="15">($C$17*D22*9.81)/$A$2</f>
        <v>0.40542476150381423</v>
      </c>
      <c r="G22" s="11">
        <f t="shared" ref="G22" si="16">($B$17*D22*9.81)/$A$2</f>
        <v>2.5400297249999997</v>
      </c>
      <c r="H22" s="13">
        <f>E22-$F$22</f>
        <v>1.5945752384961858</v>
      </c>
      <c r="I22" s="13">
        <f>H22/$G$22</f>
        <v>0.62777818023219634</v>
      </c>
      <c r="J22" s="12">
        <f>AVERAGE(I22:I26)</f>
        <v>0.58840856222506854</v>
      </c>
      <c r="K22" s="14">
        <f>$J$22-I22</f>
        <v>-3.9369618007127793E-2</v>
      </c>
      <c r="L22" s="10" cm="1">
        <f t="array" ref="L22">SQRT((SUMPRODUCT(K22:K26*K22:K26))/(5*(5-1)))*2.776</f>
        <v>3.4560551391292951E-2</v>
      </c>
      <c r="M22" s="10" t="str">
        <f t="shared" ref="M22" si="17">ROUND(J22,2) &amp; " ± " &amp; ROUND(L22,3)</f>
        <v>0.59 ± 0.035</v>
      </c>
    </row>
    <row r="23" spans="1:13" x14ac:dyDescent="0.35">
      <c r="A23" s="15"/>
      <c r="B23" s="15"/>
      <c r="C23" s="16"/>
      <c r="D23" s="10"/>
      <c r="E23" s="9">
        <v>1.8</v>
      </c>
      <c r="F23" s="11"/>
      <c r="G23" s="11"/>
      <c r="H23" s="13">
        <f t="shared" ref="H23:H26" si="18">E23-$F$22</f>
        <v>1.3945752384961858</v>
      </c>
      <c r="I23" s="13">
        <f t="shared" ref="I23:I26" si="19">H23/$G$22</f>
        <v>0.54903894421794064</v>
      </c>
      <c r="J23" s="12"/>
      <c r="K23" s="14">
        <f>$J$22-I23</f>
        <v>3.9369618007127904E-2</v>
      </c>
      <c r="L23" s="10"/>
      <c r="M23" s="10"/>
    </row>
    <row r="24" spans="1:13" x14ac:dyDescent="0.35">
      <c r="A24" s="15"/>
      <c r="B24" s="15"/>
      <c r="C24" s="16"/>
      <c r="D24" s="10"/>
      <c r="E24" s="9">
        <v>1.9</v>
      </c>
      <c r="F24" s="11"/>
      <c r="G24" s="11"/>
      <c r="H24" s="13">
        <f t="shared" si="18"/>
        <v>1.4945752384961857</v>
      </c>
      <c r="I24" s="13">
        <f t="shared" si="19"/>
        <v>0.58840856222506843</v>
      </c>
      <c r="J24" s="12"/>
      <c r="K24" s="14">
        <f>$J$22-I24</f>
        <v>0</v>
      </c>
      <c r="L24" s="10"/>
      <c r="M24" s="10"/>
    </row>
    <row r="25" spans="1:13" x14ac:dyDescent="0.35">
      <c r="A25" s="15"/>
      <c r="B25" s="15"/>
      <c r="C25" s="16"/>
      <c r="D25" s="10"/>
      <c r="E25" s="9">
        <v>1.9</v>
      </c>
      <c r="F25" s="11"/>
      <c r="G25" s="11"/>
      <c r="H25" s="13">
        <f t="shared" si="18"/>
        <v>1.4945752384961857</v>
      </c>
      <c r="I25" s="13">
        <f t="shared" si="19"/>
        <v>0.58840856222506843</v>
      </c>
      <c r="J25" s="12"/>
      <c r="K25" s="14">
        <f>$J$22-I25</f>
        <v>0</v>
      </c>
      <c r="L25" s="10"/>
      <c r="M25" s="10"/>
    </row>
    <row r="26" spans="1:13" x14ac:dyDescent="0.35">
      <c r="A26" s="15"/>
      <c r="B26" s="15"/>
      <c r="C26" s="16"/>
      <c r="D26" s="10"/>
      <c r="E26" s="9">
        <v>1.9</v>
      </c>
      <c r="F26" s="11"/>
      <c r="G26" s="11"/>
      <c r="H26" s="13">
        <f t="shared" si="18"/>
        <v>1.4945752384961857</v>
      </c>
      <c r="I26" s="13">
        <f t="shared" si="19"/>
        <v>0.58840856222506843</v>
      </c>
      <c r="J26" s="12"/>
      <c r="K26" s="14">
        <f>$J$22-I26</f>
        <v>0</v>
      </c>
      <c r="L26" s="10"/>
      <c r="M26" s="10"/>
    </row>
    <row r="27" spans="1:13" x14ac:dyDescent="0.35">
      <c r="A27" s="15"/>
      <c r="B27" s="15"/>
      <c r="C27" s="16"/>
      <c r="D27" s="10">
        <v>0.36220000000000002</v>
      </c>
      <c r="E27" s="9">
        <v>2.5</v>
      </c>
      <c r="F27" s="11">
        <f t="shared" ref="F27" si="20">($C$17*D27*9.81)/$A$2</f>
        <v>0.56004900311472738</v>
      </c>
      <c r="G27" s="11">
        <f t="shared" ref="G27" si="21">($B$17*D27*9.81)/$A$2</f>
        <v>3.5087672250000002</v>
      </c>
      <c r="H27" s="13">
        <f>E27-$F$27</f>
        <v>1.9399509968852726</v>
      </c>
      <c r="I27" s="13">
        <f>H27/$G$27</f>
        <v>0.55288677546435772</v>
      </c>
      <c r="J27" s="12">
        <f>AVERAGE(I27:I31)</f>
        <v>0.5756868060363487</v>
      </c>
      <c r="K27" s="14">
        <f>$J$27-I27</f>
        <v>2.2800030571990981E-2</v>
      </c>
      <c r="L27" s="10" cm="1">
        <f t="array" ref="L27">SQRT((SUMPRODUCT(K27:K31*K27:K31))/(5*(5-1)))*2.776</f>
        <v>2.9602536274501563E-2</v>
      </c>
      <c r="M27" s="10" t="str">
        <f t="shared" ref="M27" si="22">ROUND(J27,2) &amp; " ± " &amp; ROUND(L27,3)</f>
        <v>0.58 ± 0.03</v>
      </c>
    </row>
    <row r="28" spans="1:13" x14ac:dyDescent="0.35">
      <c r="A28" s="15"/>
      <c r="B28" s="15"/>
      <c r="C28" s="16"/>
      <c r="D28" s="10"/>
      <c r="E28" s="9">
        <v>2.6</v>
      </c>
      <c r="F28" s="11"/>
      <c r="G28" s="11"/>
      <c r="H28" s="13">
        <f t="shared" ref="H28:H31" si="23">E28-$F$27</f>
        <v>2.0399509968852727</v>
      </c>
      <c r="I28" s="13">
        <f t="shared" ref="I28:I31" si="24">H28/$G$27</f>
        <v>0.58138681367934653</v>
      </c>
      <c r="J28" s="12"/>
      <c r="K28" s="14">
        <f>$J$27-I28</f>
        <v>-5.7000076429978286E-3</v>
      </c>
      <c r="L28" s="10"/>
      <c r="M28" s="10"/>
    </row>
    <row r="29" spans="1:13" x14ac:dyDescent="0.35">
      <c r="A29" s="15"/>
      <c r="B29" s="15"/>
      <c r="C29" s="16"/>
      <c r="D29" s="10"/>
      <c r="E29" s="9">
        <v>2.7</v>
      </c>
      <c r="F29" s="11"/>
      <c r="G29" s="11"/>
      <c r="H29" s="13">
        <f t="shared" si="23"/>
        <v>2.1399509968852728</v>
      </c>
      <c r="I29" s="13">
        <f t="shared" si="24"/>
        <v>0.60988685189433522</v>
      </c>
      <c r="J29" s="12"/>
      <c r="K29" s="14">
        <f>$J$27-I29</f>
        <v>-3.4200045857986527E-2</v>
      </c>
      <c r="L29" s="10"/>
      <c r="M29" s="10"/>
    </row>
    <row r="30" spans="1:13" x14ac:dyDescent="0.35">
      <c r="A30" s="15"/>
      <c r="B30" s="15"/>
      <c r="C30" s="16"/>
      <c r="D30" s="10"/>
      <c r="E30" s="9">
        <v>2.5</v>
      </c>
      <c r="F30" s="11"/>
      <c r="G30" s="11"/>
      <c r="H30" s="13">
        <f t="shared" si="23"/>
        <v>1.9399509968852726</v>
      </c>
      <c r="I30" s="13">
        <f t="shared" si="24"/>
        <v>0.55288677546435772</v>
      </c>
      <c r="J30" s="12"/>
      <c r="K30" s="14">
        <f>$J$27-I30</f>
        <v>2.2800030571990981E-2</v>
      </c>
      <c r="L30" s="10"/>
      <c r="M30" s="10"/>
    </row>
    <row r="31" spans="1:13" x14ac:dyDescent="0.35">
      <c r="A31" s="15"/>
      <c r="B31" s="15"/>
      <c r="C31" s="16"/>
      <c r="D31" s="10"/>
      <c r="E31" s="9">
        <v>2.6</v>
      </c>
      <c r="F31" s="11"/>
      <c r="G31" s="11"/>
      <c r="H31" s="13">
        <f t="shared" si="23"/>
        <v>2.0399509968852727</v>
      </c>
      <c r="I31" s="13">
        <f t="shared" si="24"/>
        <v>0.58138681367934653</v>
      </c>
      <c r="J31" s="12"/>
      <c r="K31" s="14">
        <f>$J$27-I31</f>
        <v>-5.7000076429978286E-3</v>
      </c>
      <c r="L31" s="10"/>
      <c r="M31" s="10"/>
    </row>
    <row r="32" spans="1:13" x14ac:dyDescent="0.35">
      <c r="A32" s="15"/>
      <c r="B32" s="15">
        <v>0.35699999999999998</v>
      </c>
      <c r="C32" s="16">
        <f>($A$2^2-B32^2)^0.5</f>
        <v>0.18041895687537951</v>
      </c>
      <c r="D32" s="10">
        <v>0.16220000000000001</v>
      </c>
      <c r="E32" s="9">
        <v>1.7</v>
      </c>
      <c r="F32" s="11">
        <f>($C$32*D32*9.81)/$B$32</f>
        <v>0.80414396817613498</v>
      </c>
      <c r="G32" s="11">
        <f>($B$32*D32*9.81)/$A$2</f>
        <v>1.4201299350000001</v>
      </c>
      <c r="H32" s="13">
        <f>E32-$F$32</f>
        <v>0.89585603182386497</v>
      </c>
      <c r="I32" s="13">
        <f>H32/$G$32</f>
        <v>0.63082680657940282</v>
      </c>
      <c r="J32" s="12">
        <f>AVERAGE(I32:I36)</f>
        <v>0.64491002495758598</v>
      </c>
      <c r="K32" s="14">
        <f>$J$32-I32</f>
        <v>1.408321837818316E-2</v>
      </c>
      <c r="L32" s="10" cm="1">
        <f t="array" ref="L32">SQRT((SUMPRODUCT(K32:K36*K32:K36))/(5*(5-1)))*2.776</f>
        <v>7.3140074367099794E-2</v>
      </c>
      <c r="M32" s="10" t="str">
        <f t="shared" ref="M32" si="25">ROUND(J32,2) &amp; " ± " &amp; ROUND(L32,3)</f>
        <v>0.64 ± 0.073</v>
      </c>
    </row>
    <row r="33" spans="1:13" x14ac:dyDescent="0.35">
      <c r="A33" s="15"/>
      <c r="B33" s="15"/>
      <c r="C33" s="16"/>
      <c r="D33" s="10"/>
      <c r="E33" s="9">
        <v>1.7</v>
      </c>
      <c r="F33" s="11"/>
      <c r="G33" s="11"/>
      <c r="H33" s="13">
        <f t="shared" ref="H33:H36" si="26">E33-$F$32</f>
        <v>0.89585603182386497</v>
      </c>
      <c r="I33" s="13">
        <f t="shared" ref="I33:I36" si="27">H33/$G$32</f>
        <v>0.63082680657940282</v>
      </c>
      <c r="J33" s="12"/>
      <c r="K33" s="14">
        <f>$J$32-I33</f>
        <v>1.408321837818316E-2</v>
      </c>
      <c r="L33" s="10"/>
      <c r="M33" s="10"/>
    </row>
    <row r="34" spans="1:13" x14ac:dyDescent="0.35">
      <c r="A34" s="15"/>
      <c r="B34" s="15"/>
      <c r="C34" s="16"/>
      <c r="D34" s="10"/>
      <c r="E34" s="9">
        <v>1.8</v>
      </c>
      <c r="F34" s="11"/>
      <c r="G34" s="11"/>
      <c r="H34" s="13">
        <f t="shared" si="26"/>
        <v>0.99585603182386506</v>
      </c>
      <c r="I34" s="13">
        <f t="shared" si="27"/>
        <v>0.70124289847031851</v>
      </c>
      <c r="J34" s="12"/>
      <c r="K34" s="14">
        <f>$J$32-I34</f>
        <v>-5.6332873512732529E-2</v>
      </c>
      <c r="L34" s="10"/>
      <c r="M34" s="10"/>
    </row>
    <row r="35" spans="1:13" x14ac:dyDescent="0.35">
      <c r="A35" s="15"/>
      <c r="B35" s="15"/>
      <c r="C35" s="16"/>
      <c r="D35" s="10"/>
      <c r="E35" s="9">
        <v>1.8</v>
      </c>
      <c r="F35" s="11"/>
      <c r="G35" s="11"/>
      <c r="H35" s="13">
        <f t="shared" si="26"/>
        <v>0.99585603182386506</v>
      </c>
      <c r="I35" s="13">
        <f t="shared" si="27"/>
        <v>0.70124289847031851</v>
      </c>
      <c r="J35" s="12"/>
      <c r="K35" s="14">
        <f>$J$32-I35</f>
        <v>-5.6332873512732529E-2</v>
      </c>
      <c r="L35" s="10"/>
      <c r="M35" s="10"/>
    </row>
    <row r="36" spans="1:13" x14ac:dyDescent="0.35">
      <c r="A36" s="15"/>
      <c r="B36" s="15"/>
      <c r="C36" s="16"/>
      <c r="D36" s="10"/>
      <c r="E36" s="9">
        <v>1.6</v>
      </c>
      <c r="F36" s="11"/>
      <c r="G36" s="11"/>
      <c r="H36" s="13">
        <f t="shared" si="26"/>
        <v>0.79585603182386511</v>
      </c>
      <c r="I36" s="13">
        <f t="shared" si="27"/>
        <v>0.56041071468848735</v>
      </c>
      <c r="J36" s="12"/>
      <c r="K36" s="14">
        <f>$J$32-I36</f>
        <v>8.4499310269098626E-2</v>
      </c>
      <c r="L36" s="10"/>
      <c r="M36" s="10"/>
    </row>
    <row r="37" spans="1:13" x14ac:dyDescent="0.35">
      <c r="A37" s="15"/>
      <c r="B37" s="15"/>
      <c r="C37" s="16"/>
      <c r="D37" s="10">
        <v>0.26219999999999999</v>
      </c>
      <c r="E37" s="9">
        <v>2.6</v>
      </c>
      <c r="F37" s="11">
        <f>($C$32*D37*9.81)/$B$32</f>
        <v>1.2999170681614214</v>
      </c>
      <c r="G37" s="11">
        <f t="shared" ref="G37" si="28">($B$32*D37*9.81)/$A$2</f>
        <v>2.2956724349999997</v>
      </c>
      <c r="H37" s="13">
        <f>E37-$F$37</f>
        <v>1.3000829318385787</v>
      </c>
      <c r="I37" s="13">
        <f>H37/$G$37</f>
        <v>0.56631900615149344</v>
      </c>
      <c r="J37" s="12">
        <f>AVERAGE(I37:I41)</f>
        <v>0.58374309479330344</v>
      </c>
      <c r="K37" s="14">
        <f>$J$37-I37</f>
        <v>1.7424088641809998E-2</v>
      </c>
      <c r="L37" s="10" cm="1">
        <f t="array" ref="L37">SQRT((SUMPRODUCT(K37:K41*K37:K41))/(5*(5-1)))*2.776</f>
        <v>6.1658962985865061E-2</v>
      </c>
      <c r="M37" s="10" t="str">
        <f t="shared" ref="M37" si="29">ROUND(J37,2) &amp; " ± " &amp; ROUND(L37,3)</f>
        <v>0.58 ± 0.062</v>
      </c>
    </row>
    <row r="38" spans="1:13" x14ac:dyDescent="0.35">
      <c r="A38" s="15"/>
      <c r="B38" s="15"/>
      <c r="C38" s="16"/>
      <c r="D38" s="10"/>
      <c r="E38" s="9">
        <v>2.8</v>
      </c>
      <c r="F38" s="11"/>
      <c r="G38" s="11"/>
      <c r="H38" s="13">
        <f t="shared" ref="H38:H41" si="30">E38-$F$37</f>
        <v>1.5000829318385784</v>
      </c>
      <c r="I38" s="13">
        <f t="shared" ref="I38:I41" si="31">H38/$G$37</f>
        <v>0.65343944936054377</v>
      </c>
      <c r="J38" s="12"/>
      <c r="K38" s="14">
        <f>$J$37-I38</f>
        <v>-6.9696354567240326E-2</v>
      </c>
      <c r="L38" s="10"/>
      <c r="M38" s="10"/>
    </row>
    <row r="39" spans="1:13" x14ac:dyDescent="0.35">
      <c r="A39" s="15"/>
      <c r="B39" s="15"/>
      <c r="C39" s="16"/>
      <c r="D39" s="10"/>
      <c r="E39" s="9">
        <v>2.5</v>
      </c>
      <c r="F39" s="11"/>
      <c r="G39" s="11"/>
      <c r="H39" s="13">
        <f t="shared" si="30"/>
        <v>1.2000829318385786</v>
      </c>
      <c r="I39" s="13">
        <f t="shared" si="31"/>
        <v>0.52275878454696811</v>
      </c>
      <c r="J39" s="12"/>
      <c r="K39" s="14">
        <f>$J$37-I39</f>
        <v>6.0984310246335327E-2</v>
      </c>
      <c r="L39" s="10"/>
      <c r="M39" s="10"/>
    </row>
    <row r="40" spans="1:13" x14ac:dyDescent="0.35">
      <c r="A40" s="15"/>
      <c r="B40" s="15"/>
      <c r="C40" s="16"/>
      <c r="D40" s="10"/>
      <c r="E40" s="9">
        <v>2.6</v>
      </c>
      <c r="F40" s="11"/>
      <c r="G40" s="11"/>
      <c r="H40" s="13">
        <f t="shared" si="30"/>
        <v>1.3000829318385787</v>
      </c>
      <c r="I40" s="13">
        <f t="shared" si="31"/>
        <v>0.56631900615149344</v>
      </c>
      <c r="J40" s="12"/>
      <c r="K40" s="14">
        <f>$J$37-I40</f>
        <v>1.7424088641809998E-2</v>
      </c>
      <c r="L40" s="10"/>
      <c r="M40" s="10"/>
    </row>
    <row r="41" spans="1:13" x14ac:dyDescent="0.35">
      <c r="A41" s="15"/>
      <c r="B41" s="15"/>
      <c r="C41" s="16"/>
      <c r="D41" s="10"/>
      <c r="E41" s="9">
        <v>2.7</v>
      </c>
      <c r="F41" s="11"/>
      <c r="G41" s="11"/>
      <c r="H41" s="13">
        <f t="shared" si="30"/>
        <v>1.4000829318385788</v>
      </c>
      <c r="I41" s="13">
        <f t="shared" si="31"/>
        <v>0.60987922775601866</v>
      </c>
      <c r="J41" s="12"/>
      <c r="K41" s="14">
        <f>$J$37-I41</f>
        <v>-2.6136132962715219E-2</v>
      </c>
      <c r="L41" s="10"/>
      <c r="M41" s="10"/>
    </row>
    <row r="42" spans="1:13" x14ac:dyDescent="0.35">
      <c r="A42" s="15"/>
      <c r="B42" s="15"/>
      <c r="C42" s="16"/>
      <c r="D42" s="10">
        <v>0.36220000000000002</v>
      </c>
      <c r="E42" s="9">
        <v>3.8</v>
      </c>
      <c r="F42" s="11">
        <f t="shared" ref="F42" si="32">($C$32*D42*9.81)/$B$32</f>
        <v>1.7956901681467079</v>
      </c>
      <c r="G42" s="11">
        <f t="shared" ref="G42" si="33">($B$32*D42*9.81)/$A$2</f>
        <v>3.1712149350000005</v>
      </c>
      <c r="H42" s="13">
        <f>E42-$F$42</f>
        <v>2.0043098318532921</v>
      </c>
      <c r="I42" s="13">
        <f>H42/$G$42</f>
        <v>0.63203216210045121</v>
      </c>
      <c r="J42" s="12">
        <f>AVERAGE(I42:I46)</f>
        <v>0.62572543095483746</v>
      </c>
      <c r="K42" s="14">
        <f>$J$42-I42</f>
        <v>-6.3067311456137531E-3</v>
      </c>
      <c r="L42" s="10" cm="1">
        <f t="array" ref="L42">SQRT((SUMPRODUCT(K42:K46*K42:K46))/(5*(5-1)))*2.776</f>
        <v>5.8065760957489908E-2</v>
      </c>
      <c r="M42" s="10" t="str">
        <f t="shared" ref="M42" si="34">ROUND(J42,2) &amp; " ± " &amp; ROUND(L42,3)</f>
        <v>0.63 ± 0.058</v>
      </c>
    </row>
    <row r="43" spans="1:13" x14ac:dyDescent="0.35">
      <c r="A43" s="15"/>
      <c r="B43" s="15"/>
      <c r="C43" s="16"/>
      <c r="D43" s="10"/>
      <c r="E43" s="9">
        <v>3.6</v>
      </c>
      <c r="F43" s="11"/>
      <c r="G43" s="11"/>
      <c r="H43" s="13">
        <f t="shared" ref="H43:H46" si="35">E43-$F$42</f>
        <v>1.8043098318532922</v>
      </c>
      <c r="I43" s="13">
        <f t="shared" ref="I43:I45" si="36">H43/$G$42</f>
        <v>0.56896485064431368</v>
      </c>
      <c r="J43" s="12"/>
      <c r="K43" s="14">
        <f>$J$42-I43</f>
        <v>5.6760580310523778E-2</v>
      </c>
      <c r="L43" s="10"/>
      <c r="M43" s="10"/>
    </row>
    <row r="44" spans="1:13" x14ac:dyDescent="0.35">
      <c r="A44" s="15"/>
      <c r="B44" s="15"/>
      <c r="C44" s="16"/>
      <c r="D44" s="10"/>
      <c r="E44" s="9">
        <v>4</v>
      </c>
      <c r="F44" s="11"/>
      <c r="G44" s="11"/>
      <c r="H44" s="13">
        <f t="shared" si="35"/>
        <v>2.2043098318532923</v>
      </c>
      <c r="I44" s="13">
        <f t="shared" si="36"/>
        <v>0.69509947355658885</v>
      </c>
      <c r="J44" s="12"/>
      <c r="K44" s="14">
        <f>$J$42-I44</f>
        <v>-6.9374042601751396E-2</v>
      </c>
      <c r="L44" s="10"/>
      <c r="M44" s="10"/>
    </row>
    <row r="45" spans="1:13" x14ac:dyDescent="0.35">
      <c r="A45" s="15"/>
      <c r="B45" s="15"/>
      <c r="C45" s="16"/>
      <c r="D45" s="10"/>
      <c r="E45" s="9">
        <v>3.7</v>
      </c>
      <c r="F45" s="11"/>
      <c r="G45" s="11"/>
      <c r="H45" s="13">
        <f t="shared" si="35"/>
        <v>1.9043098318532923</v>
      </c>
      <c r="I45" s="13">
        <f t="shared" si="36"/>
        <v>0.60049850637238245</v>
      </c>
      <c r="J45" s="12"/>
      <c r="K45" s="14">
        <f>$J$42-I45</f>
        <v>2.5226924582455013E-2</v>
      </c>
      <c r="L45" s="10"/>
      <c r="M45" s="10"/>
    </row>
    <row r="46" spans="1:13" x14ac:dyDescent="0.35">
      <c r="A46" s="15"/>
      <c r="B46" s="15"/>
      <c r="C46" s="16"/>
      <c r="D46" s="10"/>
      <c r="E46" s="9">
        <v>3.8</v>
      </c>
      <c r="F46" s="11"/>
      <c r="G46" s="11"/>
      <c r="H46" s="13">
        <f t="shared" si="35"/>
        <v>2.0043098318532921</v>
      </c>
      <c r="I46" s="13">
        <f>H46/$G$42</f>
        <v>0.63203216210045121</v>
      </c>
      <c r="J46" s="12"/>
      <c r="K46" s="14">
        <f>$J$42-I46</f>
        <v>-6.3067311456137531E-3</v>
      </c>
      <c r="L46" s="10"/>
      <c r="M46" s="10"/>
    </row>
    <row r="47" spans="1:13" x14ac:dyDescent="0.35">
      <c r="A47" s="15"/>
      <c r="B47" s="15">
        <v>0.39400000000000002</v>
      </c>
      <c r="C47" s="16">
        <f t="shared" ref="C47" si="37">($A$2^2-B47^2)^0.5</f>
        <v>6.9021735706949722E-2</v>
      </c>
      <c r="D47" s="10">
        <v>0.16220000000000001</v>
      </c>
      <c r="E47" s="9">
        <v>1.2</v>
      </c>
      <c r="F47" s="11">
        <f>($C$47*D47*9.81)/$A$2</f>
        <v>0.27456535866413917</v>
      </c>
      <c r="G47" s="11">
        <f>($B$47*D47*9.81)/$A$2</f>
        <v>1.5673142700000002</v>
      </c>
      <c r="H47" s="13">
        <f>E47-$F$47</f>
        <v>0.92543464133586073</v>
      </c>
      <c r="I47" s="13">
        <f>H47/$G$47</f>
        <v>0.5904588882074433</v>
      </c>
      <c r="J47" s="12">
        <f>AVERAGE(I47:I51)</f>
        <v>0.66702298406040839</v>
      </c>
      <c r="K47" s="14">
        <f>$J$47-I47</f>
        <v>7.6564095852965086E-2</v>
      </c>
      <c r="L47" s="10" cm="1">
        <f t="array" ref="L47">SQRT((SUMPRODUCT(K47:K51*K47:K51))/(5*(5-1)))*2.776</f>
        <v>6.6271590226026966E-2</v>
      </c>
      <c r="M47" s="10" t="str">
        <f t="shared" ref="M47" si="38">ROUND(J47,2) &amp; " ± " &amp; ROUND(L47,3)</f>
        <v>0.67 ± 0.066</v>
      </c>
    </row>
    <row r="48" spans="1:13" x14ac:dyDescent="0.35">
      <c r="A48" s="15"/>
      <c r="B48" s="15"/>
      <c r="C48" s="16"/>
      <c r="D48" s="10"/>
      <c r="E48" s="9">
        <v>1.3</v>
      </c>
      <c r="F48" s="11"/>
      <c r="G48" s="11"/>
      <c r="H48" s="13">
        <f t="shared" ref="H48:H51" si="39">E48-$F$47</f>
        <v>1.0254346413358608</v>
      </c>
      <c r="I48" s="13">
        <f t="shared" ref="I48:I51" si="40">H48/$G$47</f>
        <v>0.65426230141824759</v>
      </c>
      <c r="J48" s="12"/>
      <c r="K48" s="14">
        <f>$J$47-I48</f>
        <v>1.2760682642160792E-2</v>
      </c>
      <c r="L48" s="10"/>
      <c r="M48" s="10"/>
    </row>
    <row r="49" spans="1:13" x14ac:dyDescent="0.35">
      <c r="A49" s="15"/>
      <c r="B49" s="15"/>
      <c r="C49" s="16"/>
      <c r="D49" s="10"/>
      <c r="E49" s="9">
        <v>1.4</v>
      </c>
      <c r="F49" s="11"/>
      <c r="G49" s="11"/>
      <c r="H49" s="13">
        <f t="shared" si="39"/>
        <v>1.1254346413358607</v>
      </c>
      <c r="I49" s="13">
        <f t="shared" si="40"/>
        <v>0.71806571462905178</v>
      </c>
      <c r="J49" s="12"/>
      <c r="K49" s="14">
        <f>$J$47-I49</f>
        <v>-5.1042730568643391E-2</v>
      </c>
      <c r="L49" s="10"/>
      <c r="M49" s="10"/>
    </row>
    <row r="50" spans="1:13" x14ac:dyDescent="0.35">
      <c r="A50" s="15"/>
      <c r="B50" s="15"/>
      <c r="C50" s="16"/>
      <c r="D50" s="10"/>
      <c r="E50" s="9">
        <v>1.3</v>
      </c>
      <c r="F50" s="11"/>
      <c r="G50" s="11"/>
      <c r="H50" s="13">
        <f t="shared" si="39"/>
        <v>1.0254346413358608</v>
      </c>
      <c r="I50" s="13">
        <f t="shared" si="40"/>
        <v>0.65426230141824759</v>
      </c>
      <c r="J50" s="12"/>
      <c r="K50" s="14">
        <f>$J$47-I50</f>
        <v>1.2760682642160792E-2</v>
      </c>
      <c r="L50" s="10"/>
      <c r="M50" s="10"/>
    </row>
    <row r="51" spans="1:13" x14ac:dyDescent="0.35">
      <c r="A51" s="15"/>
      <c r="B51" s="15"/>
      <c r="C51" s="16"/>
      <c r="D51" s="10"/>
      <c r="E51" s="9">
        <v>1.4</v>
      </c>
      <c r="F51" s="11"/>
      <c r="G51" s="11"/>
      <c r="H51" s="13">
        <f t="shared" si="39"/>
        <v>1.1254346413358607</v>
      </c>
      <c r="I51" s="13">
        <f t="shared" si="40"/>
        <v>0.71806571462905178</v>
      </c>
      <c r="J51" s="12"/>
      <c r="K51" s="14">
        <f>$J$47-I51</f>
        <v>-5.1042730568643391E-2</v>
      </c>
      <c r="L51" s="10"/>
      <c r="M51" s="10"/>
    </row>
    <row r="52" spans="1:13" x14ac:dyDescent="0.35">
      <c r="A52" s="15"/>
      <c r="B52" s="15"/>
      <c r="C52" s="16"/>
      <c r="D52" s="10">
        <v>0.26219999999999999</v>
      </c>
      <c r="E52" s="9">
        <v>2</v>
      </c>
      <c r="F52" s="11">
        <f t="shared" ref="F52" si="41">($C$47*D52*9.81)/$A$2</f>
        <v>0.44384116548543334</v>
      </c>
      <c r="G52" s="11">
        <f t="shared" ref="G52" si="42">($B$47*D52*9.81)/$A$2</f>
        <v>2.5335992700000003</v>
      </c>
      <c r="H52" s="13">
        <f>E52-$F$52</f>
        <v>1.5561588345145667</v>
      </c>
      <c r="I52" s="13">
        <f>H52/$G$52</f>
        <v>0.61420874758720878</v>
      </c>
      <c r="J52" s="12">
        <f>AVERAGE(I52:I56)</f>
        <v>0.62210265576630297</v>
      </c>
      <c r="K52" s="14">
        <f t="shared" ref="K52:K61" si="43">$J$52-I52</f>
        <v>7.893908179094189E-3</v>
      </c>
      <c r="L52" s="10" cm="1">
        <f t="array" ref="L52">SQRT((SUMPRODUCT(K52:K56*K52:K56))/(5*(5-1)))*2.776</f>
        <v>4.0996384190166213E-2</v>
      </c>
      <c r="M52" s="10" t="str">
        <f t="shared" ref="M52" si="44">ROUND(J52,2) &amp; " ± " &amp; ROUND(L52,3)</f>
        <v>0.62 ± 0.041</v>
      </c>
    </row>
    <row r="53" spans="1:13" x14ac:dyDescent="0.35">
      <c r="A53" s="15"/>
      <c r="B53" s="15"/>
      <c r="C53" s="16"/>
      <c r="D53" s="10"/>
      <c r="E53" s="9">
        <v>2.1</v>
      </c>
      <c r="F53" s="11"/>
      <c r="G53" s="11"/>
      <c r="H53" s="13">
        <f t="shared" ref="H53:H56" si="45">E53-$F$52</f>
        <v>1.6561588345145668</v>
      </c>
      <c r="I53" s="13">
        <f t="shared" ref="I53:I56" si="46">H53/$G$52</f>
        <v>0.65367828848267961</v>
      </c>
      <c r="J53" s="12"/>
      <c r="K53" s="14">
        <f t="shared" si="43"/>
        <v>-3.1575632716376645E-2</v>
      </c>
      <c r="L53" s="10"/>
      <c r="M53" s="10"/>
    </row>
    <row r="54" spans="1:13" x14ac:dyDescent="0.35">
      <c r="A54" s="15"/>
      <c r="B54" s="15"/>
      <c r="C54" s="16"/>
      <c r="D54" s="10"/>
      <c r="E54" s="9">
        <v>2</v>
      </c>
      <c r="F54" s="11"/>
      <c r="G54" s="11"/>
      <c r="H54" s="13">
        <f t="shared" si="45"/>
        <v>1.5561588345145667</v>
      </c>
      <c r="I54" s="13">
        <f t="shared" si="46"/>
        <v>0.61420874758720878</v>
      </c>
      <c r="J54" s="12"/>
      <c r="K54" s="14">
        <f t="shared" si="43"/>
        <v>7.893908179094189E-3</v>
      </c>
      <c r="L54" s="10"/>
      <c r="M54" s="10"/>
    </row>
    <row r="55" spans="1:13" x14ac:dyDescent="0.35">
      <c r="A55" s="15"/>
      <c r="B55" s="15"/>
      <c r="C55" s="16"/>
      <c r="D55" s="10"/>
      <c r="E55" s="9">
        <v>1.9</v>
      </c>
      <c r="F55" s="11"/>
      <c r="G55" s="11"/>
      <c r="H55" s="13">
        <f t="shared" si="45"/>
        <v>1.4561588345145666</v>
      </c>
      <c r="I55" s="13">
        <f t="shared" si="46"/>
        <v>0.57473920669173795</v>
      </c>
      <c r="J55" s="12"/>
      <c r="K55" s="14">
        <f t="shared" si="43"/>
        <v>4.7363449074565023E-2</v>
      </c>
      <c r="L55" s="10"/>
      <c r="M55" s="10"/>
    </row>
    <row r="56" spans="1:13" x14ac:dyDescent="0.35">
      <c r="A56" s="15"/>
      <c r="B56" s="15"/>
      <c r="C56" s="16"/>
      <c r="D56" s="10"/>
      <c r="E56" s="9">
        <v>2.1</v>
      </c>
      <c r="F56" s="11"/>
      <c r="G56" s="11"/>
      <c r="H56" s="13">
        <f t="shared" si="45"/>
        <v>1.6561588345145668</v>
      </c>
      <c r="I56" s="13">
        <f t="shared" si="46"/>
        <v>0.65367828848267961</v>
      </c>
      <c r="J56" s="12"/>
      <c r="K56" s="14">
        <f t="shared" si="43"/>
        <v>-3.1575632716376645E-2</v>
      </c>
      <c r="L56" s="10"/>
      <c r="M56" s="10"/>
    </row>
    <row r="57" spans="1:13" x14ac:dyDescent="0.35">
      <c r="A57" s="15"/>
      <c r="B57" s="15"/>
      <c r="C57" s="16"/>
      <c r="D57" s="10">
        <v>0.36220000000000002</v>
      </c>
      <c r="E57" s="9">
        <v>2.7</v>
      </c>
      <c r="F57" s="11">
        <f t="shared" ref="F57" si="47">($C$47*D57*9.81)/$A$2</f>
        <v>0.61311697230672757</v>
      </c>
      <c r="G57" s="11">
        <f t="shared" ref="G57" si="48">($B$47*D57*9.81)/$A$2</f>
        <v>3.4998842700000004</v>
      </c>
      <c r="H57" s="13">
        <f>E57-$F$57</f>
        <v>2.0868830276932728</v>
      </c>
      <c r="I57" s="13">
        <f>H57/$G$57</f>
        <v>0.59627200978656147</v>
      </c>
      <c r="J57" s="12">
        <f>AVERAGE(I57:I61)</f>
        <v>0.61912990845645088</v>
      </c>
      <c r="K57" s="14">
        <f t="shared" si="43"/>
        <v>2.5830645979741496E-2</v>
      </c>
      <c r="L57" s="10" cm="1">
        <f t="array" ref="L57">SQRT((SUMPRODUCT(K57:K61*K57:K61))/(5*(5-1)))*2.776</f>
        <v>2.9963133674843694E-2</v>
      </c>
      <c r="M57" s="10" t="str">
        <f t="shared" ref="M57" si="49">ROUND(J57,2) &amp; " ± " &amp; ROUND(L57,3)</f>
        <v>0.62 ± 0.03</v>
      </c>
    </row>
    <row r="58" spans="1:13" x14ac:dyDescent="0.35">
      <c r="A58" s="15"/>
      <c r="B58" s="15"/>
      <c r="C58" s="16"/>
      <c r="D58" s="10"/>
      <c r="E58" s="9">
        <v>2.9</v>
      </c>
      <c r="F58" s="11"/>
      <c r="G58" s="11"/>
      <c r="H58" s="13">
        <f t="shared" ref="H58:H61" si="50">E58-$F$57</f>
        <v>2.2868830276932721</v>
      </c>
      <c r="I58" s="13">
        <f t="shared" ref="I58:I61" si="51">H58/$G$57</f>
        <v>0.65341675646128494</v>
      </c>
      <c r="J58" s="12"/>
      <c r="K58" s="14">
        <f t="shared" si="43"/>
        <v>-3.1314100694981972E-2</v>
      </c>
      <c r="L58" s="10"/>
      <c r="M58" s="10"/>
    </row>
    <row r="59" spans="1:13" x14ac:dyDescent="0.35">
      <c r="A59" s="15"/>
      <c r="B59" s="15"/>
      <c r="C59" s="16"/>
      <c r="D59" s="10"/>
      <c r="E59" s="9">
        <v>2.8</v>
      </c>
      <c r="F59" s="11"/>
      <c r="G59" s="11"/>
      <c r="H59" s="13">
        <f t="shared" si="50"/>
        <v>2.1868830276932725</v>
      </c>
      <c r="I59" s="13">
        <f t="shared" si="51"/>
        <v>0.62484438312392321</v>
      </c>
      <c r="J59" s="12"/>
      <c r="K59" s="14">
        <f t="shared" si="43"/>
        <v>-2.7417273576202383E-3</v>
      </c>
      <c r="L59" s="10"/>
      <c r="M59" s="10"/>
    </row>
    <row r="60" spans="1:13" x14ac:dyDescent="0.35">
      <c r="A60" s="15"/>
      <c r="B60" s="15"/>
      <c r="C60" s="16"/>
      <c r="D60" s="10"/>
      <c r="E60" s="9">
        <v>2.7</v>
      </c>
      <c r="F60" s="11"/>
      <c r="G60" s="11"/>
      <c r="H60" s="13">
        <f t="shared" si="50"/>
        <v>2.0868830276932728</v>
      </c>
      <c r="I60" s="13">
        <f t="shared" si="51"/>
        <v>0.59627200978656147</v>
      </c>
      <c r="J60" s="12"/>
      <c r="K60" s="14">
        <f t="shared" si="43"/>
        <v>2.5830645979741496E-2</v>
      </c>
      <c r="L60" s="10"/>
      <c r="M60" s="10"/>
    </row>
    <row r="61" spans="1:13" x14ac:dyDescent="0.35">
      <c r="A61" s="15"/>
      <c r="B61" s="15"/>
      <c r="C61" s="16"/>
      <c r="D61" s="10"/>
      <c r="E61" s="9">
        <v>2.8</v>
      </c>
      <c r="F61" s="11"/>
      <c r="G61" s="11"/>
      <c r="H61" s="13">
        <f t="shared" si="50"/>
        <v>2.1868830276932725</v>
      </c>
      <c r="I61" s="13">
        <f t="shared" si="51"/>
        <v>0.62484438312392321</v>
      </c>
      <c r="J61" s="12"/>
      <c r="K61" s="14">
        <f t="shared" si="43"/>
        <v>-2.7417273576202383E-3</v>
      </c>
      <c r="L61" s="10"/>
      <c r="M61" s="10"/>
    </row>
    <row r="62" spans="1:13" x14ac:dyDescent="0.35">
      <c r="A62" s="15"/>
      <c r="B62" s="15">
        <v>0.378</v>
      </c>
      <c r="C62" s="16">
        <f t="shared" ref="C62" si="52">($A$2^2-B62^2)^0.5</f>
        <v>0.1308281315314104</v>
      </c>
      <c r="D62" s="10">
        <v>0.16220000000000001</v>
      </c>
      <c r="E62" s="9">
        <v>1.4</v>
      </c>
      <c r="F62" s="11">
        <f>($C$62*D62*9.81)/$A$2</f>
        <v>0.52042841996603173</v>
      </c>
      <c r="G62" s="11">
        <f>($B$62*D62*9.81)/$A$2</f>
        <v>1.5036669900000001</v>
      </c>
      <c r="H62" s="13">
        <f>E62-$F$62</f>
        <v>0.87957158003396818</v>
      </c>
      <c r="I62" s="13">
        <f>H62/$G$62</f>
        <v>0.58495104692959188</v>
      </c>
      <c r="J62" s="12">
        <f>AVERAGE(I62:I66)</f>
        <v>0.59825186428676491</v>
      </c>
      <c r="K62" s="14">
        <f>$J$62-I62</f>
        <v>1.3300817357173034E-2</v>
      </c>
      <c r="L62" s="10" cm="1">
        <f t="array" ref="L62">SQRT((SUMPRODUCT(K62:K66*K62:K66))/(5*(5-1)))*2.776</f>
        <v>3.6923068983512095E-2</v>
      </c>
      <c r="M62" s="10" t="str">
        <f t="shared" ref="M62" si="53">ROUND(J62,2) &amp; " ± " &amp; ROUND(L62,3)</f>
        <v>0.6 ± 0.037</v>
      </c>
    </row>
    <row r="63" spans="1:13" x14ac:dyDescent="0.35">
      <c r="A63" s="15"/>
      <c r="B63" s="15"/>
      <c r="C63" s="16"/>
      <c r="D63" s="10"/>
      <c r="E63" s="9">
        <v>1.4</v>
      </c>
      <c r="F63" s="11"/>
      <c r="G63" s="11"/>
      <c r="H63" s="13">
        <f t="shared" ref="H63:H64" si="54">E63-$F$62</f>
        <v>0.87957158003396818</v>
      </c>
      <c r="I63" s="13">
        <f t="shared" ref="I63:I66" si="55">H63/$G$62</f>
        <v>0.58495104692959188</v>
      </c>
      <c r="J63" s="12"/>
      <c r="K63" s="14">
        <f>$J$62-I63</f>
        <v>1.3300817357173034E-2</v>
      </c>
      <c r="L63" s="10"/>
      <c r="M63" s="10"/>
    </row>
    <row r="64" spans="1:13" x14ac:dyDescent="0.35">
      <c r="A64" s="15"/>
      <c r="B64" s="15"/>
      <c r="C64" s="16"/>
      <c r="D64" s="10"/>
      <c r="E64" s="9">
        <v>1.5</v>
      </c>
      <c r="F64" s="11"/>
      <c r="G64" s="11"/>
      <c r="H64" s="13">
        <f t="shared" si="54"/>
        <v>0.97957158003396827</v>
      </c>
      <c r="I64" s="13">
        <f t="shared" si="55"/>
        <v>0.6514551337154566</v>
      </c>
      <c r="J64" s="12"/>
      <c r="K64" s="14">
        <f>$J$62-I64</f>
        <v>-5.3203269428691691E-2</v>
      </c>
      <c r="L64" s="10"/>
      <c r="M64" s="10"/>
    </row>
    <row r="65" spans="1:13" x14ac:dyDescent="0.35">
      <c r="A65" s="15"/>
      <c r="B65" s="15"/>
      <c r="C65" s="16"/>
      <c r="D65" s="10"/>
      <c r="E65" s="9">
        <v>1.3</v>
      </c>
      <c r="F65" s="11"/>
      <c r="G65" s="11"/>
      <c r="H65" s="13">
        <f>E66-$F$62</f>
        <v>0.87957158003396818</v>
      </c>
      <c r="I65" s="13">
        <f t="shared" si="55"/>
        <v>0.58495104692959188</v>
      </c>
      <c r="J65" s="12"/>
      <c r="K65" s="14">
        <f>$J$62-I65</f>
        <v>1.3300817357173034E-2</v>
      </c>
      <c r="L65" s="10"/>
      <c r="M65" s="10"/>
    </row>
    <row r="66" spans="1:13" x14ac:dyDescent="0.35">
      <c r="A66" s="15"/>
      <c r="B66" s="15"/>
      <c r="C66" s="16"/>
      <c r="D66" s="10"/>
      <c r="E66" s="9">
        <v>1.4</v>
      </c>
      <c r="F66" s="11"/>
      <c r="G66" s="11"/>
      <c r="H66" s="13">
        <f>E66-$F$62</f>
        <v>0.87957158003396818</v>
      </c>
      <c r="I66" s="13">
        <f t="shared" si="55"/>
        <v>0.58495104692959188</v>
      </c>
      <c r="J66" s="12"/>
      <c r="K66" s="14">
        <f>$J$62-I66</f>
        <v>1.3300817357173034E-2</v>
      </c>
      <c r="L66" s="10"/>
      <c r="M66" s="10"/>
    </row>
    <row r="67" spans="1:13" x14ac:dyDescent="0.35">
      <c r="A67" s="15"/>
      <c r="B67" s="15"/>
      <c r="C67" s="16"/>
      <c r="D67" s="10">
        <v>0.26219999999999999</v>
      </c>
      <c r="E67" s="9">
        <v>2.2999999999999998</v>
      </c>
      <c r="F67" s="11">
        <f t="shared" ref="F67" si="56">($C$62*D67*9.81)/$A$2</f>
        <v>0.84128441254681563</v>
      </c>
      <c r="G67" s="11">
        <f t="shared" ref="G67" si="57">($B$62*D67*9.81)/$A$2</f>
        <v>2.4307119899999998</v>
      </c>
      <c r="H67" s="13">
        <f>E67-$F$67</f>
        <v>1.4587155874531841</v>
      </c>
      <c r="I67" s="13">
        <f>H67/$G$67</f>
        <v>0.60011864567022777</v>
      </c>
      <c r="J67" s="12">
        <f>AVERAGE(I67:I71)</f>
        <v>0.57543452009433016</v>
      </c>
      <c r="K67" s="14">
        <f>$J$67-I67</f>
        <v>-2.4684125575897609E-2</v>
      </c>
      <c r="L67" s="10" cm="1">
        <f t="array" ref="L67">SQRT((SUMPRODUCT(K67:K71*K67:K71))/(5*(5-1)))*2.776</f>
        <v>4.5682088399127782E-2</v>
      </c>
      <c r="M67" s="10" t="str">
        <f t="shared" ref="M67" si="58">ROUND(J67,2) &amp; " ± " &amp; ROUND(L67,3)</f>
        <v>0.58 ± 0.046</v>
      </c>
    </row>
    <row r="68" spans="1:13" x14ac:dyDescent="0.35">
      <c r="A68" s="15"/>
      <c r="B68" s="15"/>
      <c r="C68" s="16"/>
      <c r="D68" s="10"/>
      <c r="E68" s="9">
        <v>2.2000000000000002</v>
      </c>
      <c r="F68" s="11"/>
      <c r="G68" s="11"/>
      <c r="H68" s="13">
        <f t="shared" ref="H68:H71" si="59">E68-$F$67</f>
        <v>1.3587155874531844</v>
      </c>
      <c r="I68" s="13">
        <f t="shared" ref="I68:I71" si="60">H68/$G$67</f>
        <v>0.55897843637706524</v>
      </c>
      <c r="J68" s="12"/>
      <c r="K68" s="14">
        <f>$J$67-I68</f>
        <v>1.6456083717264924E-2</v>
      </c>
      <c r="L68" s="10"/>
      <c r="M68" s="10"/>
    </row>
    <row r="69" spans="1:13" x14ac:dyDescent="0.35">
      <c r="A69" s="15"/>
      <c r="B69" s="15"/>
      <c r="C69" s="16"/>
      <c r="D69" s="10"/>
      <c r="E69" s="9">
        <v>2.2999999999999998</v>
      </c>
      <c r="F69" s="11"/>
      <c r="G69" s="11"/>
      <c r="H69" s="13">
        <f t="shared" si="59"/>
        <v>1.4587155874531841</v>
      </c>
      <c r="I69" s="13">
        <f t="shared" si="60"/>
        <v>0.60011864567022777</v>
      </c>
      <c r="J69" s="12"/>
      <c r="K69" s="14">
        <f>$J$67-I69</f>
        <v>-2.4684125575897609E-2</v>
      </c>
      <c r="L69" s="10"/>
      <c r="M69" s="10"/>
    </row>
    <row r="70" spans="1:13" x14ac:dyDescent="0.35">
      <c r="A70" s="15"/>
      <c r="B70" s="15"/>
      <c r="C70" s="16"/>
      <c r="D70" s="10"/>
      <c r="E70" s="9">
        <v>2.2999999999999998</v>
      </c>
      <c r="F70" s="11"/>
      <c r="G70" s="11"/>
      <c r="H70" s="13">
        <f t="shared" si="59"/>
        <v>1.4587155874531841</v>
      </c>
      <c r="I70" s="13">
        <f t="shared" si="60"/>
        <v>0.60011864567022777</v>
      </c>
      <c r="J70" s="12"/>
      <c r="K70" s="14">
        <f>$J$67-I70</f>
        <v>-2.4684125575897609E-2</v>
      </c>
      <c r="L70" s="10"/>
      <c r="M70" s="10"/>
    </row>
    <row r="71" spans="1:13" x14ac:dyDescent="0.35">
      <c r="A71" s="15"/>
      <c r="B71" s="15"/>
      <c r="C71" s="16"/>
      <c r="D71" s="10"/>
      <c r="E71" s="9">
        <v>2.1</v>
      </c>
      <c r="F71" s="11"/>
      <c r="G71" s="11"/>
      <c r="H71" s="13">
        <f t="shared" si="59"/>
        <v>1.2587155874531843</v>
      </c>
      <c r="I71" s="13">
        <f t="shared" si="60"/>
        <v>0.51783822708390248</v>
      </c>
      <c r="J71" s="12"/>
      <c r="K71" s="14">
        <f>$J$67-I71</f>
        <v>5.7596293010427679E-2</v>
      </c>
      <c r="L71" s="10"/>
      <c r="M71" s="10"/>
    </row>
    <row r="72" spans="1:13" x14ac:dyDescent="0.35">
      <c r="A72" s="15"/>
      <c r="B72" s="15"/>
      <c r="C72" s="16"/>
      <c r="D72" s="10">
        <v>0.36220000000000002</v>
      </c>
      <c r="E72" s="9">
        <v>3.3</v>
      </c>
      <c r="F72" s="11">
        <f t="shared" ref="F72" si="61">($C$62*D72*9.81)/$A$2</f>
        <v>1.1621404051275996</v>
      </c>
      <c r="G72" s="11">
        <f t="shared" ref="G72" si="62">($B$62*D72*9.81)/$A$2</f>
        <v>3.3577569900000008</v>
      </c>
      <c r="H72" s="13">
        <f>E72-$F$72</f>
        <v>2.1378595948724</v>
      </c>
      <c r="I72" s="13">
        <f>H72/$G$72</f>
        <v>0.63669276878562897</v>
      </c>
      <c r="J72" s="12">
        <f>AVERAGE(I72:I76)</f>
        <v>0.6426491259787086</v>
      </c>
      <c r="K72" s="14">
        <f>$J$72-I72</f>
        <v>5.9563571930796311E-3</v>
      </c>
      <c r="L72" s="10" cm="1">
        <f t="array" ref="L72">SQRT((SUMPRODUCT(K72:K76*K72:K76))/(5*(5-1)))*2.776</f>
        <v>3.0933867270973824E-2</v>
      </c>
      <c r="M72" s="10" t="str">
        <f t="shared" ref="M72" si="63">ROUND(J72,2) &amp; " ± " &amp; ROUND(L72,3)</f>
        <v>0.64 ± 0.031</v>
      </c>
    </row>
    <row r="73" spans="1:13" x14ac:dyDescent="0.35">
      <c r="A73" s="15"/>
      <c r="B73" s="15"/>
      <c r="C73" s="16"/>
      <c r="D73" s="10"/>
      <c r="E73" s="9">
        <v>3.4</v>
      </c>
      <c r="F73" s="11"/>
      <c r="G73" s="11"/>
      <c r="H73" s="13">
        <f t="shared" ref="H73:H76" si="64">E73-$F$72</f>
        <v>2.2378595948724005</v>
      </c>
      <c r="I73" s="13">
        <f t="shared" ref="I73:I76" si="65">H73/$G$72</f>
        <v>0.66647455475102735</v>
      </c>
      <c r="J73" s="12"/>
      <c r="K73" s="14">
        <f>$J$72-I73</f>
        <v>-2.3825428772318746E-2</v>
      </c>
      <c r="L73" s="10"/>
      <c r="M73" s="10"/>
    </row>
    <row r="74" spans="1:13" x14ac:dyDescent="0.35">
      <c r="A74" s="15"/>
      <c r="B74" s="15"/>
      <c r="C74" s="16"/>
      <c r="D74" s="10"/>
      <c r="E74" s="9">
        <v>3.3</v>
      </c>
      <c r="F74" s="11"/>
      <c r="G74" s="11"/>
      <c r="H74" s="13">
        <f t="shared" si="64"/>
        <v>2.1378595948724</v>
      </c>
      <c r="I74" s="13">
        <f t="shared" si="65"/>
        <v>0.63669276878562897</v>
      </c>
      <c r="J74" s="12"/>
      <c r="K74" s="14">
        <f>$J$72-I74</f>
        <v>5.9563571930796311E-3</v>
      </c>
      <c r="L74" s="10"/>
      <c r="M74" s="10"/>
    </row>
    <row r="75" spans="1:13" x14ac:dyDescent="0.35">
      <c r="A75" s="15"/>
      <c r="B75" s="15"/>
      <c r="C75" s="16"/>
      <c r="D75" s="10"/>
      <c r="E75" s="9">
        <v>3.2</v>
      </c>
      <c r="F75" s="11"/>
      <c r="G75" s="11"/>
      <c r="H75" s="13">
        <f t="shared" si="64"/>
        <v>2.0378595948724003</v>
      </c>
      <c r="I75" s="13">
        <f t="shared" si="65"/>
        <v>0.60691098282023082</v>
      </c>
      <c r="J75" s="12"/>
      <c r="K75" s="14">
        <f>$J$72-I75</f>
        <v>3.5738143158477786E-2</v>
      </c>
      <c r="L75" s="10"/>
      <c r="M75" s="10"/>
    </row>
    <row r="76" spans="1:13" x14ac:dyDescent="0.35">
      <c r="A76" s="15"/>
      <c r="B76" s="15"/>
      <c r="C76" s="16"/>
      <c r="D76" s="10"/>
      <c r="E76" s="9">
        <v>3.4</v>
      </c>
      <c r="F76" s="11"/>
      <c r="G76" s="11"/>
      <c r="H76" s="13">
        <f t="shared" si="64"/>
        <v>2.2378595948724005</v>
      </c>
      <c r="I76" s="13">
        <f t="shared" si="65"/>
        <v>0.66647455475102735</v>
      </c>
      <c r="J76" s="12"/>
      <c r="K76" s="14">
        <f>$J$72-I76</f>
        <v>-2.3825428772318746E-2</v>
      </c>
      <c r="L76" s="10"/>
      <c r="M76" s="10"/>
    </row>
    <row r="77" spans="1:13" x14ac:dyDescent="0.35">
      <c r="A77" s="2"/>
      <c r="B77" s="1"/>
      <c r="C77" s="1"/>
    </row>
    <row r="78" spans="1:13" x14ac:dyDescent="0.35">
      <c r="A78" s="2"/>
      <c r="B78" s="1"/>
      <c r="C78" s="1"/>
    </row>
    <row r="79" spans="1:13" x14ac:dyDescent="0.35">
      <c r="A79" s="2"/>
      <c r="B79" s="1"/>
      <c r="C79" s="1"/>
    </row>
    <row r="80" spans="1:13" x14ac:dyDescent="0.35">
      <c r="A80" s="2"/>
      <c r="B80" s="1"/>
      <c r="C80" s="1"/>
    </row>
    <row r="81" spans="1:3" x14ac:dyDescent="0.35">
      <c r="A81" s="2"/>
      <c r="B81" s="1"/>
      <c r="C81" s="1"/>
    </row>
    <row r="82" spans="1:3" x14ac:dyDescent="0.35">
      <c r="A82" s="2"/>
      <c r="B82" s="1"/>
      <c r="C82" s="1"/>
    </row>
    <row r="83" spans="1:3" x14ac:dyDescent="0.35">
      <c r="A83" s="2"/>
      <c r="B83" s="1"/>
      <c r="C83" s="1"/>
    </row>
    <row r="84" spans="1:3" x14ac:dyDescent="0.35">
      <c r="A84" s="2"/>
      <c r="B84" s="1"/>
      <c r="C84" s="1"/>
    </row>
    <row r="85" spans="1:3" x14ac:dyDescent="0.35">
      <c r="A85" s="2"/>
      <c r="B85" s="1"/>
      <c r="C85" s="1"/>
    </row>
    <row r="86" spans="1:3" x14ac:dyDescent="0.35">
      <c r="A86" s="2"/>
      <c r="B86" s="1"/>
      <c r="C86" s="1"/>
    </row>
    <row r="87" spans="1:3" x14ac:dyDescent="0.35">
      <c r="A87" s="2"/>
      <c r="B87" s="1"/>
      <c r="C87" s="1"/>
    </row>
    <row r="88" spans="1:3" x14ac:dyDescent="0.35">
      <c r="A88" s="2"/>
      <c r="B88" s="1"/>
      <c r="C88" s="1"/>
    </row>
    <row r="89" spans="1:3" x14ac:dyDescent="0.35">
      <c r="A89" s="2"/>
      <c r="B89" s="1"/>
      <c r="C89" s="1"/>
    </row>
    <row r="90" spans="1:3" x14ac:dyDescent="0.35">
      <c r="A90" s="2"/>
      <c r="B90" s="1"/>
      <c r="C90" s="1"/>
    </row>
    <row r="91" spans="1:3" x14ac:dyDescent="0.35">
      <c r="A91" s="2"/>
      <c r="B91" s="1"/>
      <c r="C91" s="1"/>
    </row>
    <row r="92" spans="1:3" x14ac:dyDescent="0.35">
      <c r="A92" s="2"/>
      <c r="B92" s="1"/>
      <c r="C92" s="1"/>
    </row>
    <row r="93" spans="1:3" x14ac:dyDescent="0.35">
      <c r="A93" s="2"/>
      <c r="B93" s="1"/>
      <c r="C93" s="1"/>
    </row>
    <row r="94" spans="1:3" x14ac:dyDescent="0.35">
      <c r="A94" s="2"/>
      <c r="B94" s="1"/>
      <c r="C94" s="1"/>
    </row>
    <row r="95" spans="1:3" x14ac:dyDescent="0.35">
      <c r="A95" s="2"/>
      <c r="B95" s="1"/>
      <c r="C95" s="1"/>
    </row>
    <row r="96" spans="1:3" x14ac:dyDescent="0.35">
      <c r="A96" s="2"/>
      <c r="B96" s="1"/>
      <c r="C96" s="1"/>
    </row>
    <row r="97" spans="1:3" x14ac:dyDescent="0.35">
      <c r="A97" s="2"/>
      <c r="B97" s="1"/>
      <c r="C97" s="1"/>
    </row>
    <row r="98" spans="1:3" x14ac:dyDescent="0.35">
      <c r="A98" s="2"/>
      <c r="B98" s="1"/>
      <c r="C98" s="1"/>
    </row>
    <row r="99" spans="1:3" x14ac:dyDescent="0.35">
      <c r="A99" s="2"/>
      <c r="B99" s="1"/>
      <c r="C99" s="1"/>
    </row>
    <row r="100" spans="1:3" x14ac:dyDescent="0.35">
      <c r="A100" s="2"/>
      <c r="B100" s="1"/>
      <c r="C100" s="1"/>
    </row>
    <row r="101" spans="1:3" x14ac:dyDescent="0.35">
      <c r="A101" s="2"/>
      <c r="B101" s="1"/>
      <c r="C101" s="1"/>
    </row>
    <row r="102" spans="1:3" x14ac:dyDescent="0.35">
      <c r="A102" s="2"/>
      <c r="B102" s="1"/>
      <c r="C102" s="1"/>
    </row>
    <row r="103" spans="1:3" x14ac:dyDescent="0.35">
      <c r="A103" s="2"/>
      <c r="B103" s="1"/>
      <c r="C103" s="1"/>
    </row>
    <row r="104" spans="1:3" x14ac:dyDescent="0.35">
      <c r="A104" s="2"/>
      <c r="B104" s="1"/>
      <c r="C104" s="1"/>
    </row>
    <row r="105" spans="1:3" x14ac:dyDescent="0.35">
      <c r="A105" s="2"/>
      <c r="B105" s="1"/>
      <c r="C105" s="1"/>
    </row>
    <row r="106" spans="1:3" x14ac:dyDescent="0.35">
      <c r="A106" s="2"/>
      <c r="B106" s="1"/>
      <c r="C106" s="1"/>
    </row>
    <row r="107" spans="1:3" x14ac:dyDescent="0.35">
      <c r="A107" s="2"/>
      <c r="B107" s="1"/>
      <c r="C107" s="1"/>
    </row>
    <row r="108" spans="1:3" x14ac:dyDescent="0.35">
      <c r="A108" s="2"/>
      <c r="B108" s="1"/>
      <c r="C108" s="1"/>
    </row>
    <row r="109" spans="1:3" x14ac:dyDescent="0.35">
      <c r="A109" s="2"/>
      <c r="B109" s="1"/>
      <c r="C109" s="1"/>
    </row>
    <row r="110" spans="1:3" x14ac:dyDescent="0.35">
      <c r="A110" s="2"/>
      <c r="B110" s="1"/>
      <c r="C110" s="1"/>
    </row>
    <row r="111" spans="1:3" x14ac:dyDescent="0.35">
      <c r="A111" s="2"/>
      <c r="B111" s="1"/>
      <c r="C111" s="1"/>
    </row>
    <row r="112" spans="1:3" x14ac:dyDescent="0.35">
      <c r="A112" s="2"/>
      <c r="B112" s="1"/>
      <c r="C112" s="1"/>
    </row>
    <row r="113" spans="1:3" x14ac:dyDescent="0.35">
      <c r="A113" s="2"/>
      <c r="B113" s="1"/>
      <c r="C113" s="1"/>
    </row>
    <row r="114" spans="1:3" x14ac:dyDescent="0.35">
      <c r="A114" s="2"/>
      <c r="B114" s="1"/>
      <c r="C114" s="1"/>
    </row>
    <row r="115" spans="1:3" x14ac:dyDescent="0.35">
      <c r="A115" s="2"/>
      <c r="B115" s="1"/>
      <c r="C115" s="1"/>
    </row>
    <row r="116" spans="1:3" x14ac:dyDescent="0.35">
      <c r="A116" s="2"/>
      <c r="B116" s="1"/>
      <c r="C116" s="1"/>
    </row>
    <row r="117" spans="1:3" x14ac:dyDescent="0.35">
      <c r="A117" s="2"/>
      <c r="B117" s="1"/>
      <c r="C117" s="1"/>
    </row>
    <row r="118" spans="1:3" x14ac:dyDescent="0.35">
      <c r="A118" s="2"/>
      <c r="B118" s="1"/>
      <c r="C118" s="1"/>
    </row>
    <row r="119" spans="1:3" x14ac:dyDescent="0.35">
      <c r="A119" s="2"/>
      <c r="B119" s="1"/>
      <c r="C119" s="1"/>
    </row>
    <row r="120" spans="1:3" x14ac:dyDescent="0.35">
      <c r="A120" s="2"/>
      <c r="B120" s="1"/>
      <c r="C120" s="1"/>
    </row>
    <row r="121" spans="1:3" x14ac:dyDescent="0.35">
      <c r="A121" s="2"/>
      <c r="B121" s="1"/>
      <c r="C121" s="1"/>
    </row>
    <row r="122" spans="1:3" x14ac:dyDescent="0.35">
      <c r="A122" s="2"/>
      <c r="B122" s="1"/>
      <c r="C122" s="1"/>
    </row>
    <row r="123" spans="1:3" x14ac:dyDescent="0.35">
      <c r="A123" s="2"/>
      <c r="B123" s="1"/>
      <c r="C123" s="1"/>
    </row>
    <row r="124" spans="1:3" x14ac:dyDescent="0.35">
      <c r="A124" s="2"/>
      <c r="B124" s="1"/>
      <c r="C124" s="1"/>
    </row>
    <row r="125" spans="1:3" x14ac:dyDescent="0.35">
      <c r="A125" s="2"/>
      <c r="B125" s="1"/>
      <c r="C125" s="1"/>
    </row>
    <row r="126" spans="1:3" x14ac:dyDescent="0.35">
      <c r="A126" s="2"/>
      <c r="B126" s="1"/>
      <c r="C126" s="1"/>
    </row>
    <row r="127" spans="1:3" x14ac:dyDescent="0.35">
      <c r="A127" s="2"/>
      <c r="B127" s="1"/>
      <c r="C127" s="1"/>
    </row>
    <row r="128" spans="1:3" x14ac:dyDescent="0.35">
      <c r="A128" s="2"/>
      <c r="B128" s="1"/>
      <c r="C128" s="1"/>
    </row>
    <row r="129" spans="1:3" x14ac:dyDescent="0.35">
      <c r="A129" s="2"/>
      <c r="B129" s="1"/>
      <c r="C129" s="1"/>
    </row>
    <row r="130" spans="1:3" x14ac:dyDescent="0.35">
      <c r="A130" s="2"/>
      <c r="B130" s="1"/>
      <c r="C130" s="1"/>
    </row>
    <row r="131" spans="1:3" x14ac:dyDescent="0.35">
      <c r="A131" s="2"/>
      <c r="B131" s="1"/>
      <c r="C131" s="1"/>
    </row>
    <row r="132" spans="1:3" x14ac:dyDescent="0.35">
      <c r="A132" s="2"/>
      <c r="B132" s="1"/>
      <c r="C132" s="1"/>
    </row>
    <row r="133" spans="1:3" x14ac:dyDescent="0.35">
      <c r="A133" s="2"/>
      <c r="B133" s="1"/>
      <c r="C133" s="1"/>
    </row>
    <row r="134" spans="1:3" x14ac:dyDescent="0.35">
      <c r="A134" s="2"/>
      <c r="B134" s="1"/>
      <c r="C134" s="1"/>
    </row>
    <row r="135" spans="1:3" x14ac:dyDescent="0.35">
      <c r="A135" s="2"/>
      <c r="B135" s="1"/>
      <c r="C135" s="1"/>
    </row>
    <row r="136" spans="1:3" x14ac:dyDescent="0.35">
      <c r="A136" s="2"/>
      <c r="B136" s="1"/>
      <c r="C136" s="1"/>
    </row>
    <row r="137" spans="1:3" x14ac:dyDescent="0.35">
      <c r="A137" s="2"/>
      <c r="B137" s="1"/>
      <c r="C137" s="1"/>
    </row>
    <row r="138" spans="1:3" x14ac:dyDescent="0.35">
      <c r="A138" s="2"/>
      <c r="B138" s="1"/>
      <c r="C138" s="1"/>
    </row>
    <row r="139" spans="1:3" x14ac:dyDescent="0.35">
      <c r="A139" s="2"/>
      <c r="B139" s="1"/>
      <c r="C139" s="1"/>
    </row>
    <row r="140" spans="1:3" x14ac:dyDescent="0.35">
      <c r="A140" s="2"/>
      <c r="B140" s="1"/>
      <c r="C140" s="1"/>
    </row>
    <row r="141" spans="1:3" x14ac:dyDescent="0.35">
      <c r="A141" s="2"/>
      <c r="B141" s="1"/>
      <c r="C141" s="1"/>
    </row>
    <row r="142" spans="1:3" x14ac:dyDescent="0.35">
      <c r="A142" s="2"/>
      <c r="B142" s="1"/>
      <c r="C142" s="1"/>
    </row>
    <row r="143" spans="1:3" x14ac:dyDescent="0.35">
      <c r="A143" s="2"/>
      <c r="B143" s="1"/>
      <c r="C143" s="1"/>
    </row>
    <row r="144" spans="1:3" x14ac:dyDescent="0.35">
      <c r="A144" s="2"/>
      <c r="B144" s="1"/>
      <c r="C144" s="1"/>
    </row>
    <row r="145" spans="1:3" x14ac:dyDescent="0.35">
      <c r="A145" s="2"/>
      <c r="B145" s="1"/>
      <c r="C145" s="1"/>
    </row>
    <row r="146" spans="1:3" x14ac:dyDescent="0.35">
      <c r="A146" s="2"/>
      <c r="B146" s="1"/>
      <c r="C146" s="1"/>
    </row>
    <row r="147" spans="1:3" x14ac:dyDescent="0.35">
      <c r="A147" s="2"/>
      <c r="B147" s="1"/>
      <c r="C147" s="1"/>
    </row>
    <row r="148" spans="1:3" x14ac:dyDescent="0.35">
      <c r="A148" s="2"/>
      <c r="B148" s="1"/>
      <c r="C148" s="1"/>
    </row>
    <row r="149" spans="1:3" x14ac:dyDescent="0.35">
      <c r="A149" s="2"/>
      <c r="B149" s="1"/>
      <c r="C149" s="1"/>
    </row>
    <row r="150" spans="1:3" x14ac:dyDescent="0.35">
      <c r="A150" s="2"/>
      <c r="B150" s="1"/>
      <c r="C150" s="1"/>
    </row>
    <row r="151" spans="1:3" x14ac:dyDescent="0.35">
      <c r="A151" s="2"/>
      <c r="B151" s="1"/>
      <c r="C151" s="1"/>
    </row>
    <row r="152" spans="1:3" x14ac:dyDescent="0.35">
      <c r="A152" s="2"/>
      <c r="B152" s="1"/>
      <c r="C152" s="1"/>
    </row>
    <row r="153" spans="1:3" x14ac:dyDescent="0.35">
      <c r="A153" s="2"/>
      <c r="B153" s="1"/>
      <c r="C153" s="1"/>
    </row>
    <row r="154" spans="1:3" x14ac:dyDescent="0.35">
      <c r="A154" s="2"/>
      <c r="B154" s="1"/>
      <c r="C154" s="1"/>
    </row>
    <row r="155" spans="1:3" x14ac:dyDescent="0.35">
      <c r="A155" s="2"/>
      <c r="B155" s="1"/>
      <c r="C155" s="1"/>
    </row>
    <row r="156" spans="1:3" x14ac:dyDescent="0.35">
      <c r="A156" s="2"/>
      <c r="B156" s="1"/>
      <c r="C156" s="1"/>
    </row>
    <row r="157" spans="1:3" x14ac:dyDescent="0.35">
      <c r="A157" s="2"/>
      <c r="B157" s="1"/>
      <c r="C157" s="1"/>
    </row>
    <row r="158" spans="1:3" x14ac:dyDescent="0.35">
      <c r="A158" s="2"/>
      <c r="B158" s="1"/>
      <c r="C158" s="1"/>
    </row>
    <row r="159" spans="1:3" x14ac:dyDescent="0.35">
      <c r="A159" s="2"/>
      <c r="B159" s="1"/>
      <c r="C159" s="1"/>
    </row>
    <row r="160" spans="1:3" x14ac:dyDescent="0.35">
      <c r="A160" s="2"/>
      <c r="B160" s="1"/>
      <c r="C160" s="1"/>
    </row>
    <row r="161" spans="1:3" x14ac:dyDescent="0.35">
      <c r="A161" s="2"/>
      <c r="B161" s="1"/>
      <c r="C161" s="1"/>
    </row>
    <row r="162" spans="1:3" x14ac:dyDescent="0.35">
      <c r="A162" s="2"/>
      <c r="B162" s="1"/>
      <c r="C162" s="1"/>
    </row>
    <row r="163" spans="1:3" x14ac:dyDescent="0.35">
      <c r="A163" s="2"/>
      <c r="B163" s="1"/>
      <c r="C163" s="1"/>
    </row>
    <row r="164" spans="1:3" x14ac:dyDescent="0.35">
      <c r="A164" s="2"/>
      <c r="B164" s="1"/>
      <c r="C164" s="1"/>
    </row>
    <row r="165" spans="1:3" x14ac:dyDescent="0.35">
      <c r="A165" s="2"/>
      <c r="B165" s="1"/>
      <c r="C165" s="1"/>
    </row>
    <row r="166" spans="1:3" x14ac:dyDescent="0.35">
      <c r="A166" s="2"/>
      <c r="B166" s="1"/>
      <c r="C166" s="1"/>
    </row>
    <row r="167" spans="1:3" x14ac:dyDescent="0.35">
      <c r="A167" s="2"/>
      <c r="B167" s="1"/>
      <c r="C167" s="1"/>
    </row>
    <row r="168" spans="1:3" x14ac:dyDescent="0.35">
      <c r="A168" s="2"/>
      <c r="B168" s="1"/>
      <c r="C168" s="1"/>
    </row>
    <row r="169" spans="1:3" x14ac:dyDescent="0.35">
      <c r="A169" s="2"/>
      <c r="B169" s="1"/>
      <c r="C169" s="1"/>
    </row>
    <row r="170" spans="1:3" x14ac:dyDescent="0.35">
      <c r="A170" s="2"/>
      <c r="B170" s="1"/>
      <c r="C170" s="1"/>
    </row>
    <row r="171" spans="1:3" x14ac:dyDescent="0.35">
      <c r="A171" s="2"/>
      <c r="B171" s="1"/>
      <c r="C171" s="1"/>
    </row>
    <row r="172" spans="1:3" x14ac:dyDescent="0.35">
      <c r="A172" s="2"/>
      <c r="B172" s="1"/>
      <c r="C172" s="1"/>
    </row>
    <row r="173" spans="1:3" x14ac:dyDescent="0.35">
      <c r="A173" s="2"/>
      <c r="B173" s="1"/>
      <c r="C173" s="1"/>
    </row>
    <row r="174" spans="1:3" x14ac:dyDescent="0.35">
      <c r="A174" s="2"/>
      <c r="B174" s="1"/>
      <c r="C174" s="1"/>
    </row>
    <row r="175" spans="1:3" x14ac:dyDescent="0.35">
      <c r="A175" s="2"/>
      <c r="B175" s="1"/>
      <c r="C175" s="1"/>
    </row>
    <row r="176" spans="1:3" x14ac:dyDescent="0.35">
      <c r="A176" s="2"/>
      <c r="B176" s="1"/>
      <c r="C176" s="1"/>
    </row>
    <row r="177" spans="1:3" x14ac:dyDescent="0.35">
      <c r="A177" s="2"/>
      <c r="B177" s="1"/>
      <c r="C177" s="1"/>
    </row>
    <row r="178" spans="1:3" x14ac:dyDescent="0.35">
      <c r="A178" s="2"/>
      <c r="B178" s="1"/>
      <c r="C178" s="1"/>
    </row>
    <row r="179" spans="1:3" x14ac:dyDescent="0.35">
      <c r="A179" s="2"/>
      <c r="B179" s="1"/>
      <c r="C179" s="1"/>
    </row>
    <row r="180" spans="1:3" x14ac:dyDescent="0.35">
      <c r="A180" s="2"/>
      <c r="B180" s="1"/>
      <c r="C180" s="1"/>
    </row>
    <row r="181" spans="1:3" x14ac:dyDescent="0.35">
      <c r="A181" s="2"/>
      <c r="B181" s="1"/>
      <c r="C181" s="1"/>
    </row>
    <row r="182" spans="1:3" x14ac:dyDescent="0.35">
      <c r="A182" s="2"/>
      <c r="B182" s="1"/>
      <c r="C182" s="1"/>
    </row>
    <row r="183" spans="1:3" x14ac:dyDescent="0.35">
      <c r="A183" s="2"/>
      <c r="B183" s="1"/>
      <c r="C183" s="1"/>
    </row>
    <row r="184" spans="1:3" x14ac:dyDescent="0.35">
      <c r="A184" s="2"/>
      <c r="B184" s="1"/>
      <c r="C184" s="1"/>
    </row>
    <row r="185" spans="1:3" x14ac:dyDescent="0.35">
      <c r="A185" s="2"/>
      <c r="B185" s="1"/>
      <c r="C185" s="1"/>
    </row>
    <row r="186" spans="1:3" x14ac:dyDescent="0.35">
      <c r="A186" s="2"/>
      <c r="B186" s="1"/>
      <c r="C186" s="1"/>
    </row>
    <row r="187" spans="1:3" x14ac:dyDescent="0.35">
      <c r="A187" s="2"/>
      <c r="B187" s="1"/>
      <c r="C187" s="1"/>
    </row>
    <row r="188" spans="1:3" x14ac:dyDescent="0.35">
      <c r="A188" s="2"/>
      <c r="B188" s="1"/>
      <c r="C188" s="1"/>
    </row>
    <row r="189" spans="1:3" x14ac:dyDescent="0.35">
      <c r="A189" s="2"/>
      <c r="B189" s="1"/>
      <c r="C189" s="1"/>
    </row>
    <row r="190" spans="1:3" x14ac:dyDescent="0.35">
      <c r="A190" s="2"/>
      <c r="B190" s="1"/>
      <c r="C190" s="1"/>
    </row>
    <row r="191" spans="1:3" x14ac:dyDescent="0.35">
      <c r="A191" s="2"/>
      <c r="B191" s="1"/>
      <c r="C191" s="1"/>
    </row>
    <row r="192" spans="1:3" x14ac:dyDescent="0.35">
      <c r="A192" s="2"/>
      <c r="B192" s="1"/>
      <c r="C192" s="1"/>
    </row>
    <row r="193" spans="1:3" x14ac:dyDescent="0.35">
      <c r="A193" s="2"/>
      <c r="B193" s="1"/>
      <c r="C193" s="1"/>
    </row>
    <row r="194" spans="1:3" x14ac:dyDescent="0.35">
      <c r="A194" s="2"/>
      <c r="B194" s="1"/>
      <c r="C194" s="1"/>
    </row>
    <row r="195" spans="1:3" x14ac:dyDescent="0.35">
      <c r="A195" s="2"/>
      <c r="B195" s="1"/>
      <c r="C195" s="1"/>
    </row>
    <row r="196" spans="1:3" x14ac:dyDescent="0.35">
      <c r="A196" s="2"/>
      <c r="B196" s="1"/>
      <c r="C196" s="1"/>
    </row>
    <row r="197" spans="1:3" x14ac:dyDescent="0.35">
      <c r="A197" s="2"/>
      <c r="B197" s="1"/>
      <c r="C197" s="1"/>
    </row>
    <row r="198" spans="1:3" x14ac:dyDescent="0.35">
      <c r="A198" s="2"/>
      <c r="B198" s="1"/>
      <c r="C198" s="1"/>
    </row>
    <row r="199" spans="1:3" x14ac:dyDescent="0.35">
      <c r="A199" s="2"/>
      <c r="B199" s="1"/>
      <c r="C199" s="1"/>
    </row>
    <row r="200" spans="1:3" x14ac:dyDescent="0.35">
      <c r="A200" s="2"/>
      <c r="B200" s="1"/>
      <c r="C200" s="1"/>
    </row>
    <row r="201" spans="1:3" x14ac:dyDescent="0.35">
      <c r="A201" s="2"/>
      <c r="B201" s="1"/>
      <c r="C201" s="1"/>
    </row>
    <row r="202" spans="1:3" x14ac:dyDescent="0.35">
      <c r="A202" s="2"/>
      <c r="B202" s="1"/>
      <c r="C202" s="1"/>
    </row>
    <row r="203" spans="1:3" x14ac:dyDescent="0.35">
      <c r="A203" s="2"/>
      <c r="B203" s="1"/>
      <c r="C203" s="1"/>
    </row>
    <row r="204" spans="1:3" x14ac:dyDescent="0.35">
      <c r="A204" s="2"/>
      <c r="B204" s="1"/>
      <c r="C204" s="1"/>
    </row>
    <row r="205" spans="1:3" x14ac:dyDescent="0.35">
      <c r="A205" s="2"/>
      <c r="B205" s="1"/>
      <c r="C205" s="1"/>
    </row>
    <row r="206" spans="1:3" x14ac:dyDescent="0.35">
      <c r="A206" s="2"/>
      <c r="B206" s="1"/>
      <c r="C206" s="1"/>
    </row>
    <row r="207" spans="1:3" x14ac:dyDescent="0.35">
      <c r="A207" s="2"/>
      <c r="B207" s="1"/>
      <c r="C207" s="1"/>
    </row>
    <row r="208" spans="1:3" x14ac:dyDescent="0.35">
      <c r="A208" s="2"/>
      <c r="B208" s="1"/>
      <c r="C208" s="1"/>
    </row>
    <row r="209" spans="1:3" x14ac:dyDescent="0.35">
      <c r="A209" s="2"/>
      <c r="B209" s="1"/>
      <c r="C209" s="1"/>
    </row>
    <row r="210" spans="1:3" x14ac:dyDescent="0.35">
      <c r="A210" s="2"/>
      <c r="B210" s="1"/>
      <c r="C210" s="1"/>
    </row>
    <row r="211" spans="1:3" x14ac:dyDescent="0.35">
      <c r="A211" s="2"/>
      <c r="B211" s="1"/>
      <c r="C211" s="1"/>
    </row>
    <row r="212" spans="1:3" x14ac:dyDescent="0.35">
      <c r="A212" s="2"/>
      <c r="B212" s="1"/>
      <c r="C212" s="1"/>
    </row>
    <row r="213" spans="1:3" x14ac:dyDescent="0.35">
      <c r="A213" s="2"/>
      <c r="B213" s="1"/>
      <c r="C213" s="1"/>
    </row>
    <row r="214" spans="1:3" x14ac:dyDescent="0.35">
      <c r="A214" s="2"/>
      <c r="B214" s="1"/>
      <c r="C214" s="1"/>
    </row>
    <row r="215" spans="1:3" x14ac:dyDescent="0.35">
      <c r="A215" s="2"/>
      <c r="B215" s="1"/>
      <c r="C215" s="1"/>
    </row>
    <row r="216" spans="1:3" x14ac:dyDescent="0.35">
      <c r="A216" s="2"/>
      <c r="B216" s="1"/>
      <c r="C216" s="1"/>
    </row>
    <row r="217" spans="1:3" x14ac:dyDescent="0.35">
      <c r="A217" s="2"/>
      <c r="B217" s="1"/>
      <c r="C217" s="1"/>
    </row>
    <row r="218" spans="1:3" x14ac:dyDescent="0.35">
      <c r="A218" s="2"/>
      <c r="B218" s="1"/>
      <c r="C218" s="1"/>
    </row>
    <row r="219" spans="1:3" x14ac:dyDescent="0.35">
      <c r="A219" s="2"/>
      <c r="B219" s="1"/>
      <c r="C219" s="1"/>
    </row>
    <row r="220" spans="1:3" x14ac:dyDescent="0.35">
      <c r="A220" s="2"/>
      <c r="B220" s="1"/>
      <c r="C220" s="1"/>
    </row>
    <row r="221" spans="1:3" x14ac:dyDescent="0.35">
      <c r="A221" s="2"/>
      <c r="B221" s="1"/>
      <c r="C221" s="1"/>
    </row>
    <row r="222" spans="1:3" x14ac:dyDescent="0.35">
      <c r="A222" s="2"/>
      <c r="B222" s="1"/>
      <c r="C222" s="1"/>
    </row>
    <row r="223" spans="1:3" x14ac:dyDescent="0.35">
      <c r="A223" s="2"/>
      <c r="B223" s="1"/>
      <c r="C223" s="1"/>
    </row>
    <row r="224" spans="1:3" x14ac:dyDescent="0.35">
      <c r="A224" s="2"/>
      <c r="B224" s="1"/>
      <c r="C224" s="1"/>
    </row>
    <row r="225" spans="1:3" x14ac:dyDescent="0.35">
      <c r="A225" s="2"/>
      <c r="B225" s="1"/>
      <c r="C225" s="1"/>
    </row>
    <row r="226" spans="1:3" x14ac:dyDescent="0.35">
      <c r="A226" s="2"/>
      <c r="B226" s="1"/>
      <c r="C226" s="1"/>
    </row>
    <row r="227" spans="1:3" x14ac:dyDescent="0.35">
      <c r="A227" s="2"/>
      <c r="B227" s="1"/>
      <c r="C227" s="1"/>
    </row>
    <row r="228" spans="1:3" x14ac:dyDescent="0.35">
      <c r="A228" s="2"/>
      <c r="B228" s="1"/>
      <c r="C228" s="1"/>
    </row>
    <row r="229" spans="1:3" x14ac:dyDescent="0.35">
      <c r="A229" s="2"/>
      <c r="B229" s="1"/>
      <c r="C229" s="1"/>
    </row>
    <row r="230" spans="1:3" x14ac:dyDescent="0.35">
      <c r="A230" s="2"/>
      <c r="B230" s="1"/>
      <c r="C230" s="1"/>
    </row>
    <row r="231" spans="1:3" x14ac:dyDescent="0.35">
      <c r="A231" s="2"/>
      <c r="B231" s="1"/>
      <c r="C231" s="1"/>
    </row>
    <row r="232" spans="1:3" x14ac:dyDescent="0.35">
      <c r="A232" s="2"/>
      <c r="B232" s="1"/>
      <c r="C232" s="1"/>
    </row>
    <row r="233" spans="1:3" x14ac:dyDescent="0.35">
      <c r="A233" s="2"/>
      <c r="B233" s="1"/>
      <c r="C233" s="1"/>
    </row>
    <row r="234" spans="1:3" x14ac:dyDescent="0.35">
      <c r="A234" s="2"/>
      <c r="B234" s="1"/>
      <c r="C234" s="1"/>
    </row>
    <row r="235" spans="1:3" x14ac:dyDescent="0.35">
      <c r="A235" s="2"/>
      <c r="B235" s="1"/>
      <c r="C235" s="1"/>
    </row>
    <row r="236" spans="1:3" x14ac:dyDescent="0.35">
      <c r="A236" s="2"/>
      <c r="B236" s="1"/>
      <c r="C236" s="1"/>
    </row>
    <row r="237" spans="1:3" x14ac:dyDescent="0.35">
      <c r="A237" s="2"/>
      <c r="B237" s="1"/>
      <c r="C237" s="1"/>
    </row>
    <row r="238" spans="1:3" x14ac:dyDescent="0.35">
      <c r="A238" s="2"/>
      <c r="B238" s="1"/>
      <c r="C238" s="1"/>
    </row>
    <row r="239" spans="1:3" x14ac:dyDescent="0.35">
      <c r="A239" s="2"/>
      <c r="B239" s="1"/>
      <c r="C239" s="1"/>
    </row>
    <row r="240" spans="1:3" x14ac:dyDescent="0.35">
      <c r="A240" s="2"/>
      <c r="B240" s="1"/>
      <c r="C240" s="1"/>
    </row>
    <row r="241" spans="1:3" x14ac:dyDescent="0.35">
      <c r="A241" s="2"/>
      <c r="B241" s="1"/>
      <c r="C241" s="1"/>
    </row>
    <row r="242" spans="1:3" x14ac:dyDescent="0.35">
      <c r="A242" s="2"/>
      <c r="B242" s="1"/>
      <c r="C242" s="1"/>
    </row>
    <row r="243" spans="1:3" x14ac:dyDescent="0.35">
      <c r="A243" s="2"/>
      <c r="B243" s="1"/>
      <c r="C243" s="1"/>
    </row>
    <row r="244" spans="1:3" x14ac:dyDescent="0.35">
      <c r="A244" s="2"/>
      <c r="B244" s="1"/>
      <c r="C244" s="1"/>
    </row>
    <row r="245" spans="1:3" x14ac:dyDescent="0.35">
      <c r="A245" s="2"/>
      <c r="B245" s="1"/>
      <c r="C245" s="1"/>
    </row>
    <row r="246" spans="1:3" x14ac:dyDescent="0.35">
      <c r="A246" s="2"/>
      <c r="B246" s="1"/>
      <c r="C246" s="1"/>
    </row>
    <row r="247" spans="1:3" x14ac:dyDescent="0.35">
      <c r="A247" s="2"/>
      <c r="B247" s="1"/>
      <c r="C247" s="1"/>
    </row>
    <row r="248" spans="1:3" x14ac:dyDescent="0.35">
      <c r="A248" s="2"/>
      <c r="B248" s="1"/>
      <c r="C248" s="1"/>
    </row>
    <row r="249" spans="1:3" x14ac:dyDescent="0.35">
      <c r="A249" s="2"/>
      <c r="B249" s="1"/>
      <c r="C249" s="1"/>
    </row>
    <row r="250" spans="1:3" x14ac:dyDescent="0.35">
      <c r="A250" s="2"/>
      <c r="B250" s="1"/>
      <c r="C250" s="1"/>
    </row>
    <row r="251" spans="1:3" x14ac:dyDescent="0.35">
      <c r="A251" s="2"/>
      <c r="B251" s="1"/>
      <c r="C251" s="1"/>
    </row>
    <row r="252" spans="1:3" x14ac:dyDescent="0.35">
      <c r="A252" s="2"/>
      <c r="B252" s="1"/>
      <c r="C252" s="1"/>
    </row>
    <row r="253" spans="1:3" x14ac:dyDescent="0.35">
      <c r="A253" s="2"/>
      <c r="B253" s="1"/>
      <c r="C253" s="1"/>
    </row>
    <row r="254" spans="1:3" x14ac:dyDescent="0.35">
      <c r="A254" s="2"/>
      <c r="B254" s="1"/>
      <c r="C254" s="1"/>
    </row>
    <row r="255" spans="1:3" x14ac:dyDescent="0.35">
      <c r="A255" s="2"/>
      <c r="B255" s="1"/>
      <c r="C255" s="1"/>
    </row>
    <row r="256" spans="1:3" x14ac:dyDescent="0.35">
      <c r="A256" s="2"/>
      <c r="B256" s="1"/>
      <c r="C256" s="1"/>
    </row>
    <row r="257" spans="1:3" x14ac:dyDescent="0.35">
      <c r="A257" s="2"/>
      <c r="B257" s="1"/>
      <c r="C257" s="1"/>
    </row>
    <row r="258" spans="1:3" x14ac:dyDescent="0.35">
      <c r="A258" s="2"/>
      <c r="B258" s="1"/>
      <c r="C258" s="1"/>
    </row>
    <row r="259" spans="1:3" x14ac:dyDescent="0.35">
      <c r="A259" s="2"/>
      <c r="B259" s="1"/>
      <c r="C259" s="1"/>
    </row>
    <row r="260" spans="1:3" x14ac:dyDescent="0.35">
      <c r="A260" s="2"/>
      <c r="B260" s="1"/>
      <c r="C260" s="1"/>
    </row>
    <row r="261" spans="1:3" x14ac:dyDescent="0.35">
      <c r="A261" s="2"/>
      <c r="B261" s="1"/>
      <c r="C261" s="1"/>
    </row>
    <row r="262" spans="1:3" x14ac:dyDescent="0.35">
      <c r="A262" s="2"/>
      <c r="B262" s="1"/>
      <c r="C262" s="1"/>
    </row>
    <row r="263" spans="1:3" x14ac:dyDescent="0.35">
      <c r="A263" s="2"/>
      <c r="B263" s="1"/>
      <c r="C263" s="1"/>
    </row>
    <row r="264" spans="1:3" x14ac:dyDescent="0.35">
      <c r="A264" s="2"/>
      <c r="B264" s="1"/>
      <c r="C264" s="1"/>
    </row>
    <row r="265" spans="1:3" x14ac:dyDescent="0.35">
      <c r="A265" s="2"/>
      <c r="B265" s="1"/>
      <c r="C265" s="1"/>
    </row>
    <row r="266" spans="1:3" x14ac:dyDescent="0.35">
      <c r="A266" s="2"/>
      <c r="B266" s="1"/>
      <c r="C266" s="1"/>
    </row>
    <row r="267" spans="1:3" x14ac:dyDescent="0.35">
      <c r="A267" s="2"/>
      <c r="B267" s="1"/>
      <c r="C267" s="1"/>
    </row>
  </sheetData>
  <mergeCells count="102">
    <mergeCell ref="C47:C61"/>
    <mergeCell ref="C62:C76"/>
    <mergeCell ref="D2:D6"/>
    <mergeCell ref="D7:D11"/>
    <mergeCell ref="D12:D16"/>
    <mergeCell ref="D17:D21"/>
    <mergeCell ref="C17:C31"/>
    <mergeCell ref="D22:D26"/>
    <mergeCell ref="D27:D31"/>
    <mergeCell ref="C2:C16"/>
    <mergeCell ref="A2:A76"/>
    <mergeCell ref="B17:B31"/>
    <mergeCell ref="B32:B46"/>
    <mergeCell ref="B2:B16"/>
    <mergeCell ref="D32:D36"/>
    <mergeCell ref="D37:D41"/>
    <mergeCell ref="D42:D46"/>
    <mergeCell ref="D72:D76"/>
    <mergeCell ref="B62:B76"/>
    <mergeCell ref="B47:B61"/>
    <mergeCell ref="D47:D51"/>
    <mergeCell ref="D52:D56"/>
    <mergeCell ref="D57:D61"/>
    <mergeCell ref="D62:D66"/>
    <mergeCell ref="D67:D71"/>
    <mergeCell ref="C32:C46"/>
    <mergeCell ref="F27:F31"/>
    <mergeCell ref="F32:F36"/>
    <mergeCell ref="F37:F41"/>
    <mergeCell ref="F42:F46"/>
    <mergeCell ref="F47:F51"/>
    <mergeCell ref="F2:F6"/>
    <mergeCell ref="F7:F11"/>
    <mergeCell ref="F12:F16"/>
    <mergeCell ref="F17:F21"/>
    <mergeCell ref="F22:F26"/>
    <mergeCell ref="G47:G51"/>
    <mergeCell ref="G52:G56"/>
    <mergeCell ref="G57:G61"/>
    <mergeCell ref="G62:G66"/>
    <mergeCell ref="G67:G71"/>
    <mergeCell ref="G72:G76"/>
    <mergeCell ref="F52:F56"/>
    <mergeCell ref="F57:F61"/>
    <mergeCell ref="F62:F66"/>
    <mergeCell ref="F67:F71"/>
    <mergeCell ref="F72:F76"/>
    <mergeCell ref="G2:G6"/>
    <mergeCell ref="G7:G11"/>
    <mergeCell ref="G12:G16"/>
    <mergeCell ref="G17:G21"/>
    <mergeCell ref="G22:G26"/>
    <mergeCell ref="G27:G31"/>
    <mergeCell ref="G32:G36"/>
    <mergeCell ref="G37:G41"/>
    <mergeCell ref="G42:G46"/>
    <mergeCell ref="J62:J66"/>
    <mergeCell ref="J67:J71"/>
    <mergeCell ref="J72:J76"/>
    <mergeCell ref="J27:J31"/>
    <mergeCell ref="J32:J36"/>
    <mergeCell ref="J37:J41"/>
    <mergeCell ref="J42:J46"/>
    <mergeCell ref="J47:J51"/>
    <mergeCell ref="J2:J6"/>
    <mergeCell ref="J7:J11"/>
    <mergeCell ref="J12:J16"/>
    <mergeCell ref="J17:J21"/>
    <mergeCell ref="J22:J26"/>
    <mergeCell ref="L42:L46"/>
    <mergeCell ref="L47:L51"/>
    <mergeCell ref="L2:L6"/>
    <mergeCell ref="L7:L11"/>
    <mergeCell ref="L12:L16"/>
    <mergeCell ref="L17:L21"/>
    <mergeCell ref="L22:L26"/>
    <mergeCell ref="J52:J56"/>
    <mergeCell ref="J57:J61"/>
    <mergeCell ref="N2:O3"/>
    <mergeCell ref="L72:L76"/>
    <mergeCell ref="M2:M6"/>
    <mergeCell ref="M7:M11"/>
    <mergeCell ref="M12:M16"/>
    <mergeCell ref="M17:M21"/>
    <mergeCell ref="M22:M26"/>
    <mergeCell ref="M27:M31"/>
    <mergeCell ref="M32:M36"/>
    <mergeCell ref="M37:M41"/>
    <mergeCell ref="M42:M46"/>
    <mergeCell ref="M47:M51"/>
    <mergeCell ref="M52:M56"/>
    <mergeCell ref="M57:M61"/>
    <mergeCell ref="M62:M66"/>
    <mergeCell ref="M67:M71"/>
    <mergeCell ref="M72:M76"/>
    <mergeCell ref="L52:L56"/>
    <mergeCell ref="L57:L61"/>
    <mergeCell ref="L62:L66"/>
    <mergeCell ref="L67:L71"/>
    <mergeCell ref="L27:L31"/>
    <mergeCell ref="L32:L36"/>
    <mergeCell ref="L37:L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Eduards Gustavs Neimanis</dc:creator>
  <cp:lastModifiedBy>Eduards Gustavs Neimanis</cp:lastModifiedBy>
  <dcterms:created xsi:type="dcterms:W3CDTF">2026-02-17T08:52:14Z</dcterms:created>
  <dcterms:modified xsi:type="dcterms:W3CDTF">2026-03-02T19:19:33Z</dcterms:modified>
</cp:coreProperties>
</file>